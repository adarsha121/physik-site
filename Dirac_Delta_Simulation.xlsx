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27" documentId="11_BCD0C4B9F94957C60243AAC0F7800AD28FCFC8DF" xr6:coauthVersionLast="47" xr6:coauthVersionMax="47" xr10:uidLastSave="{8DDD3558-3F8E-4F87-9EB2-4D70CBD780DD}"/>
  <bookViews>
    <workbookView xWindow="0" yWindow="0" windowWidth="0" windowHeight="0" firstSheet="3" xr2:uid="{00000000-000D-0000-FFFF-FFFF00000000}"/>
  </bookViews>
  <sheets>
    <sheet name="Dashboard" sheetId="1" r:id="rId1"/>
    <sheet name="Point Convergence" sheetId="2" r:id="rId2"/>
    <sheet name="Spatial DDF" sheetId="3" r:id="rId3"/>
    <sheet name="Integr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2" i="4"/>
  <c r="C10" i="1"/>
  <c r="B499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3" i="1"/>
  <c r="C12" i="1"/>
  <c r="C11" i="1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E501" i="2"/>
  <c r="B501" i="2"/>
  <c r="E500" i="2"/>
  <c r="B500" i="2"/>
  <c r="E499" i="2"/>
  <c r="E498" i="2"/>
  <c r="B498" i="2"/>
  <c r="E497" i="2"/>
  <c r="B497" i="2"/>
  <c r="E496" i="2"/>
  <c r="B496" i="2"/>
  <c r="E495" i="2"/>
  <c r="B495" i="2"/>
  <c r="E494" i="2"/>
  <c r="B494" i="2"/>
  <c r="E493" i="2"/>
  <c r="B493" i="2"/>
  <c r="E492" i="2"/>
  <c r="B492" i="2"/>
  <c r="E491" i="2"/>
  <c r="B491" i="2"/>
  <c r="E490" i="2"/>
  <c r="B490" i="2"/>
  <c r="E489" i="2"/>
  <c r="B489" i="2"/>
  <c r="E488" i="2"/>
  <c r="B488" i="2"/>
  <c r="E487" i="2"/>
  <c r="B487" i="2"/>
  <c r="E486" i="2"/>
  <c r="B486" i="2"/>
  <c r="E485" i="2"/>
  <c r="B485" i="2"/>
  <c r="E484" i="2"/>
  <c r="B484" i="2"/>
  <c r="E483" i="2"/>
  <c r="B483" i="2"/>
  <c r="E482" i="2"/>
  <c r="B482" i="2"/>
  <c r="E481" i="2"/>
  <c r="B481" i="2"/>
  <c r="E480" i="2"/>
  <c r="B480" i="2"/>
  <c r="E479" i="2"/>
  <c r="B479" i="2"/>
  <c r="E478" i="2"/>
  <c r="B478" i="2"/>
  <c r="E477" i="2"/>
  <c r="B477" i="2"/>
  <c r="E476" i="2"/>
  <c r="B476" i="2"/>
  <c r="E475" i="2"/>
  <c r="B475" i="2"/>
  <c r="E474" i="2"/>
  <c r="B474" i="2"/>
  <c r="E473" i="2"/>
  <c r="B473" i="2"/>
  <c r="E472" i="2"/>
  <c r="B472" i="2"/>
  <c r="E471" i="2"/>
  <c r="B471" i="2"/>
  <c r="E470" i="2"/>
  <c r="B470" i="2"/>
  <c r="E469" i="2"/>
  <c r="B469" i="2"/>
  <c r="E468" i="2"/>
  <c r="B468" i="2"/>
  <c r="E467" i="2"/>
  <c r="B467" i="2"/>
  <c r="E466" i="2"/>
  <c r="B466" i="2"/>
  <c r="E465" i="2"/>
  <c r="B465" i="2"/>
  <c r="E464" i="2"/>
  <c r="B464" i="2"/>
  <c r="E463" i="2"/>
  <c r="B463" i="2"/>
  <c r="E462" i="2"/>
  <c r="B462" i="2"/>
  <c r="E461" i="2"/>
  <c r="B461" i="2"/>
  <c r="E460" i="2"/>
  <c r="B460" i="2"/>
  <c r="E459" i="2"/>
  <c r="B459" i="2"/>
  <c r="E458" i="2"/>
  <c r="B458" i="2"/>
  <c r="E457" i="2"/>
  <c r="B457" i="2"/>
  <c r="E456" i="2"/>
  <c r="B456" i="2"/>
  <c r="E455" i="2"/>
  <c r="B455" i="2"/>
  <c r="E454" i="2"/>
  <c r="B454" i="2"/>
  <c r="E453" i="2"/>
  <c r="B453" i="2"/>
  <c r="E452" i="2"/>
  <c r="B452" i="2"/>
  <c r="E451" i="2"/>
  <c r="B451" i="2"/>
  <c r="E450" i="2"/>
  <c r="B450" i="2"/>
  <c r="E449" i="2"/>
  <c r="B449" i="2"/>
  <c r="E448" i="2"/>
  <c r="B448" i="2"/>
  <c r="E447" i="2"/>
  <c r="B447" i="2"/>
  <c r="E446" i="2"/>
  <c r="B446" i="2"/>
  <c r="E445" i="2"/>
  <c r="B445" i="2"/>
  <c r="E444" i="2"/>
  <c r="B444" i="2"/>
  <c r="E443" i="2"/>
  <c r="B443" i="2"/>
  <c r="E442" i="2"/>
  <c r="B442" i="2"/>
  <c r="E441" i="2"/>
  <c r="B441" i="2"/>
  <c r="E440" i="2"/>
  <c r="B440" i="2"/>
  <c r="E439" i="2"/>
  <c r="B439" i="2"/>
  <c r="E438" i="2"/>
  <c r="B438" i="2"/>
  <c r="E437" i="2"/>
  <c r="B437" i="2"/>
  <c r="E436" i="2"/>
  <c r="B436" i="2"/>
  <c r="E435" i="2"/>
  <c r="B435" i="2"/>
  <c r="E434" i="2"/>
  <c r="B434" i="2"/>
  <c r="E433" i="2"/>
  <c r="B433" i="2"/>
  <c r="E432" i="2"/>
  <c r="B432" i="2"/>
  <c r="E431" i="2"/>
  <c r="B431" i="2"/>
  <c r="E430" i="2"/>
  <c r="B430" i="2"/>
  <c r="E429" i="2"/>
  <c r="B429" i="2"/>
  <c r="E428" i="2"/>
  <c r="B428" i="2"/>
  <c r="E427" i="2"/>
  <c r="B427" i="2"/>
  <c r="E426" i="2"/>
  <c r="B426" i="2"/>
  <c r="E425" i="2"/>
  <c r="B425" i="2"/>
  <c r="E424" i="2"/>
  <c r="B424" i="2"/>
  <c r="E423" i="2"/>
  <c r="B423" i="2"/>
  <c r="E422" i="2"/>
  <c r="B422" i="2"/>
  <c r="E421" i="2"/>
  <c r="B421" i="2"/>
  <c r="E420" i="2"/>
  <c r="B420" i="2"/>
  <c r="E419" i="2"/>
  <c r="B419" i="2"/>
  <c r="E418" i="2"/>
  <c r="B418" i="2"/>
  <c r="E417" i="2"/>
  <c r="B417" i="2"/>
  <c r="E416" i="2"/>
  <c r="B416" i="2"/>
  <c r="E415" i="2"/>
  <c r="B415" i="2"/>
  <c r="E414" i="2"/>
  <c r="B414" i="2"/>
  <c r="E413" i="2"/>
  <c r="B413" i="2"/>
  <c r="E412" i="2"/>
  <c r="B412" i="2"/>
  <c r="E411" i="2"/>
  <c r="B411" i="2"/>
  <c r="E410" i="2"/>
  <c r="B410" i="2"/>
  <c r="E409" i="2"/>
  <c r="B409" i="2"/>
  <c r="E408" i="2"/>
  <c r="B408" i="2"/>
  <c r="E407" i="2"/>
  <c r="B407" i="2"/>
  <c r="E406" i="2"/>
  <c r="B406" i="2"/>
  <c r="E405" i="2"/>
  <c r="B405" i="2"/>
  <c r="E404" i="2"/>
  <c r="B404" i="2"/>
  <c r="E403" i="2"/>
  <c r="B403" i="2"/>
  <c r="E402" i="2"/>
  <c r="B402" i="2"/>
  <c r="E401" i="2"/>
  <c r="B401" i="2"/>
  <c r="E400" i="2"/>
  <c r="B400" i="2"/>
  <c r="E399" i="2"/>
  <c r="B399" i="2"/>
  <c r="E398" i="2"/>
  <c r="B398" i="2"/>
  <c r="E397" i="2"/>
  <c r="B397" i="2"/>
  <c r="E396" i="2"/>
  <c r="B396" i="2"/>
  <c r="E395" i="2"/>
  <c r="B395" i="2"/>
  <c r="E394" i="2"/>
  <c r="B394" i="2"/>
  <c r="E393" i="2"/>
  <c r="B393" i="2"/>
  <c r="E392" i="2"/>
  <c r="B392" i="2"/>
  <c r="E391" i="2"/>
  <c r="B391" i="2"/>
  <c r="E390" i="2"/>
  <c r="B390" i="2"/>
  <c r="E389" i="2"/>
  <c r="B389" i="2"/>
  <c r="E388" i="2"/>
  <c r="B388" i="2"/>
  <c r="E387" i="2"/>
  <c r="B387" i="2"/>
  <c r="E386" i="2"/>
  <c r="B386" i="2"/>
  <c r="E385" i="2"/>
  <c r="B385" i="2"/>
  <c r="E384" i="2"/>
  <c r="B384" i="2"/>
  <c r="E383" i="2"/>
  <c r="B383" i="2"/>
  <c r="E382" i="2"/>
  <c r="B382" i="2"/>
  <c r="E381" i="2"/>
  <c r="B381" i="2"/>
  <c r="E380" i="2"/>
  <c r="B380" i="2"/>
  <c r="E379" i="2"/>
  <c r="B379" i="2"/>
  <c r="E378" i="2"/>
  <c r="B378" i="2"/>
  <c r="E377" i="2"/>
  <c r="B377" i="2"/>
  <c r="E376" i="2"/>
  <c r="B376" i="2"/>
  <c r="E375" i="2"/>
  <c r="B375" i="2"/>
  <c r="E374" i="2"/>
  <c r="B374" i="2"/>
  <c r="E373" i="2"/>
  <c r="B373" i="2"/>
  <c r="E372" i="2"/>
  <c r="B372" i="2"/>
  <c r="E371" i="2"/>
  <c r="B371" i="2"/>
  <c r="E370" i="2"/>
  <c r="B370" i="2"/>
  <c r="E369" i="2"/>
  <c r="B369" i="2"/>
  <c r="E368" i="2"/>
  <c r="B368" i="2"/>
  <c r="E367" i="2"/>
  <c r="B367" i="2"/>
  <c r="E366" i="2"/>
  <c r="B366" i="2"/>
  <c r="E365" i="2"/>
  <c r="B365" i="2"/>
  <c r="E364" i="2"/>
  <c r="B364" i="2"/>
  <c r="E363" i="2"/>
  <c r="B363" i="2"/>
  <c r="E362" i="2"/>
  <c r="B362" i="2"/>
  <c r="E361" i="2"/>
  <c r="B361" i="2"/>
  <c r="E360" i="2"/>
  <c r="B360" i="2"/>
  <c r="E359" i="2"/>
  <c r="B359" i="2"/>
  <c r="E358" i="2"/>
  <c r="B358" i="2"/>
  <c r="E357" i="2"/>
  <c r="B357" i="2"/>
  <c r="E356" i="2"/>
  <c r="B356" i="2"/>
  <c r="E355" i="2"/>
  <c r="B355" i="2"/>
  <c r="E354" i="2"/>
  <c r="B354" i="2"/>
  <c r="E353" i="2"/>
  <c r="B353" i="2"/>
  <c r="E352" i="2"/>
  <c r="B352" i="2"/>
  <c r="E351" i="2"/>
  <c r="B351" i="2"/>
  <c r="E350" i="2"/>
  <c r="B350" i="2"/>
  <c r="E349" i="2"/>
  <c r="B349" i="2"/>
  <c r="E348" i="2"/>
  <c r="B348" i="2"/>
  <c r="E347" i="2"/>
  <c r="B347" i="2"/>
  <c r="E346" i="2"/>
  <c r="B346" i="2"/>
  <c r="E345" i="2"/>
  <c r="B345" i="2"/>
  <c r="E344" i="2"/>
  <c r="B344" i="2"/>
  <c r="E343" i="2"/>
  <c r="B343" i="2"/>
  <c r="E342" i="2"/>
  <c r="B342" i="2"/>
  <c r="E341" i="2"/>
  <c r="B341" i="2"/>
  <c r="E340" i="2"/>
  <c r="B340" i="2"/>
  <c r="E339" i="2"/>
  <c r="B339" i="2"/>
  <c r="E338" i="2"/>
  <c r="B338" i="2"/>
  <c r="E337" i="2"/>
  <c r="B337" i="2"/>
  <c r="E336" i="2"/>
  <c r="B336" i="2"/>
  <c r="E335" i="2"/>
  <c r="B335" i="2"/>
  <c r="E334" i="2"/>
  <c r="B334" i="2"/>
  <c r="E333" i="2"/>
  <c r="B333" i="2"/>
  <c r="E332" i="2"/>
  <c r="B332" i="2"/>
  <c r="E331" i="2"/>
  <c r="B331" i="2"/>
  <c r="E330" i="2"/>
  <c r="B330" i="2"/>
  <c r="E329" i="2"/>
  <c r="B329" i="2"/>
  <c r="E328" i="2"/>
  <c r="B328" i="2"/>
  <c r="E327" i="2"/>
  <c r="B327" i="2"/>
  <c r="E326" i="2"/>
  <c r="B326" i="2"/>
  <c r="E325" i="2"/>
  <c r="B325" i="2"/>
  <c r="E324" i="2"/>
  <c r="B324" i="2"/>
  <c r="E323" i="2"/>
  <c r="B323" i="2"/>
  <c r="E322" i="2"/>
  <c r="B322" i="2"/>
  <c r="E321" i="2"/>
  <c r="B321" i="2"/>
  <c r="E320" i="2"/>
  <c r="B320" i="2"/>
  <c r="E319" i="2"/>
  <c r="B319" i="2"/>
  <c r="E318" i="2"/>
  <c r="B318" i="2"/>
  <c r="E317" i="2"/>
  <c r="B317" i="2"/>
  <c r="E316" i="2"/>
  <c r="B316" i="2"/>
  <c r="E315" i="2"/>
  <c r="B315" i="2"/>
  <c r="E314" i="2"/>
  <c r="B314" i="2"/>
  <c r="E313" i="2"/>
  <c r="B313" i="2"/>
  <c r="E312" i="2"/>
  <c r="B312" i="2"/>
  <c r="E311" i="2"/>
  <c r="B311" i="2"/>
  <c r="E310" i="2"/>
  <c r="B310" i="2"/>
  <c r="E309" i="2"/>
  <c r="B309" i="2"/>
  <c r="E308" i="2"/>
  <c r="B308" i="2"/>
  <c r="E307" i="2"/>
  <c r="B307" i="2"/>
  <c r="E306" i="2"/>
  <c r="B306" i="2"/>
  <c r="E305" i="2"/>
  <c r="B305" i="2"/>
  <c r="E304" i="2"/>
  <c r="B304" i="2"/>
  <c r="E303" i="2"/>
  <c r="B303" i="2"/>
  <c r="E302" i="2"/>
  <c r="B302" i="2"/>
  <c r="E301" i="2"/>
  <c r="B301" i="2"/>
  <c r="E300" i="2"/>
  <c r="B300" i="2"/>
  <c r="E299" i="2"/>
  <c r="B299" i="2"/>
  <c r="E298" i="2"/>
  <c r="B298" i="2"/>
  <c r="E297" i="2"/>
  <c r="B297" i="2"/>
  <c r="E296" i="2"/>
  <c r="B296" i="2"/>
  <c r="E295" i="2"/>
  <c r="B295" i="2"/>
  <c r="E294" i="2"/>
  <c r="B294" i="2"/>
  <c r="E293" i="2"/>
  <c r="B293" i="2"/>
  <c r="E292" i="2"/>
  <c r="B292" i="2"/>
  <c r="E291" i="2"/>
  <c r="B291" i="2"/>
  <c r="E290" i="2"/>
  <c r="B290" i="2"/>
  <c r="E289" i="2"/>
  <c r="B289" i="2"/>
  <c r="E288" i="2"/>
  <c r="B288" i="2"/>
  <c r="E287" i="2"/>
  <c r="B287" i="2"/>
  <c r="E286" i="2"/>
  <c r="B286" i="2"/>
  <c r="E285" i="2"/>
  <c r="B285" i="2"/>
  <c r="E284" i="2"/>
  <c r="B284" i="2"/>
  <c r="E283" i="2"/>
  <c r="B283" i="2"/>
  <c r="E282" i="2"/>
  <c r="B282" i="2"/>
  <c r="E281" i="2"/>
  <c r="B281" i="2"/>
  <c r="E280" i="2"/>
  <c r="B280" i="2"/>
  <c r="E279" i="2"/>
  <c r="B279" i="2"/>
  <c r="E278" i="2"/>
  <c r="B278" i="2"/>
  <c r="E277" i="2"/>
  <c r="B277" i="2"/>
  <c r="E276" i="2"/>
  <c r="B276" i="2"/>
  <c r="E275" i="2"/>
  <c r="B275" i="2"/>
  <c r="E274" i="2"/>
  <c r="B274" i="2"/>
  <c r="E273" i="2"/>
  <c r="B273" i="2"/>
  <c r="E272" i="2"/>
  <c r="B272" i="2"/>
  <c r="E271" i="2"/>
  <c r="B271" i="2"/>
  <c r="E270" i="2"/>
  <c r="B270" i="2"/>
  <c r="E269" i="2"/>
  <c r="B269" i="2"/>
  <c r="E268" i="2"/>
  <c r="B268" i="2"/>
  <c r="E267" i="2"/>
  <c r="B267" i="2"/>
  <c r="E266" i="2"/>
  <c r="B266" i="2"/>
  <c r="E265" i="2"/>
  <c r="B265" i="2"/>
  <c r="E264" i="2"/>
  <c r="B264" i="2"/>
  <c r="E263" i="2"/>
  <c r="B263" i="2"/>
  <c r="E262" i="2"/>
  <c r="B262" i="2"/>
  <c r="E261" i="2"/>
  <c r="B261" i="2"/>
  <c r="E260" i="2"/>
  <c r="B260" i="2"/>
  <c r="E259" i="2"/>
  <c r="B259" i="2"/>
  <c r="E258" i="2"/>
  <c r="B258" i="2"/>
  <c r="E257" i="2"/>
  <c r="B257" i="2"/>
  <c r="E256" i="2"/>
  <c r="B256" i="2"/>
  <c r="E255" i="2"/>
  <c r="B255" i="2"/>
  <c r="E254" i="2"/>
  <c r="B254" i="2"/>
  <c r="E253" i="2"/>
  <c r="B253" i="2"/>
  <c r="E252" i="2"/>
  <c r="B252" i="2"/>
  <c r="E251" i="2"/>
  <c r="B251" i="2"/>
  <c r="E250" i="2"/>
  <c r="B250" i="2"/>
  <c r="E249" i="2"/>
  <c r="B249" i="2"/>
  <c r="E248" i="2"/>
  <c r="B248" i="2"/>
  <c r="E247" i="2"/>
  <c r="B247" i="2"/>
  <c r="E246" i="2"/>
  <c r="B246" i="2"/>
  <c r="E245" i="2"/>
  <c r="B245" i="2"/>
  <c r="E244" i="2"/>
  <c r="B244" i="2"/>
  <c r="E243" i="2"/>
  <c r="B243" i="2"/>
  <c r="E242" i="2"/>
  <c r="B242" i="2"/>
  <c r="E241" i="2"/>
  <c r="B241" i="2"/>
  <c r="E240" i="2"/>
  <c r="B240" i="2"/>
  <c r="E239" i="2"/>
  <c r="B239" i="2"/>
  <c r="E238" i="2"/>
  <c r="B238" i="2"/>
  <c r="E237" i="2"/>
  <c r="B237" i="2"/>
  <c r="E236" i="2"/>
  <c r="B236" i="2"/>
  <c r="E235" i="2"/>
  <c r="B235" i="2"/>
  <c r="E234" i="2"/>
  <c r="B234" i="2"/>
  <c r="E233" i="2"/>
  <c r="B233" i="2"/>
  <c r="E232" i="2"/>
  <c r="B232" i="2"/>
  <c r="E231" i="2"/>
  <c r="B231" i="2"/>
  <c r="E230" i="2"/>
  <c r="B230" i="2"/>
  <c r="E229" i="2"/>
  <c r="B229" i="2"/>
  <c r="E228" i="2"/>
  <c r="B228" i="2"/>
  <c r="E227" i="2"/>
  <c r="B227" i="2"/>
  <c r="E226" i="2"/>
  <c r="B226" i="2"/>
  <c r="E225" i="2"/>
  <c r="B225" i="2"/>
  <c r="E224" i="2"/>
  <c r="B224" i="2"/>
  <c r="E223" i="2"/>
  <c r="B223" i="2"/>
  <c r="E222" i="2"/>
  <c r="B222" i="2"/>
  <c r="E221" i="2"/>
  <c r="B221" i="2"/>
  <c r="E220" i="2"/>
  <c r="B220" i="2"/>
  <c r="E219" i="2"/>
  <c r="B219" i="2"/>
  <c r="E218" i="2"/>
  <c r="B218" i="2"/>
  <c r="E217" i="2"/>
  <c r="B217" i="2"/>
  <c r="E216" i="2"/>
  <c r="B216" i="2"/>
  <c r="E215" i="2"/>
  <c r="B215" i="2"/>
  <c r="E214" i="2"/>
  <c r="B214" i="2"/>
  <c r="E213" i="2"/>
  <c r="B213" i="2"/>
  <c r="E212" i="2"/>
  <c r="B212" i="2"/>
  <c r="E211" i="2"/>
  <c r="B211" i="2"/>
  <c r="E210" i="2"/>
  <c r="B210" i="2"/>
  <c r="E209" i="2"/>
  <c r="B209" i="2"/>
  <c r="E208" i="2"/>
  <c r="B208" i="2"/>
  <c r="E207" i="2"/>
  <c r="B207" i="2"/>
  <c r="E206" i="2"/>
  <c r="B206" i="2"/>
  <c r="E205" i="2"/>
  <c r="B205" i="2"/>
  <c r="E204" i="2"/>
  <c r="B204" i="2"/>
  <c r="E203" i="2"/>
  <c r="B203" i="2"/>
  <c r="E202" i="2"/>
  <c r="B202" i="2"/>
  <c r="E201" i="2"/>
  <c r="B201" i="2"/>
  <c r="E200" i="2"/>
  <c r="B200" i="2"/>
  <c r="E199" i="2"/>
  <c r="B199" i="2"/>
  <c r="E198" i="2"/>
  <c r="B198" i="2"/>
  <c r="E197" i="2"/>
  <c r="B197" i="2"/>
  <c r="E196" i="2"/>
  <c r="B196" i="2"/>
  <c r="E195" i="2"/>
  <c r="B195" i="2"/>
  <c r="E194" i="2"/>
  <c r="B194" i="2"/>
  <c r="E193" i="2"/>
  <c r="B193" i="2"/>
  <c r="E192" i="2"/>
  <c r="B192" i="2"/>
  <c r="E191" i="2"/>
  <c r="B191" i="2"/>
  <c r="E190" i="2"/>
  <c r="B190" i="2"/>
  <c r="E189" i="2"/>
  <c r="B189" i="2"/>
  <c r="E188" i="2"/>
  <c r="B188" i="2"/>
  <c r="E187" i="2"/>
  <c r="B187" i="2"/>
  <c r="E186" i="2"/>
  <c r="B186" i="2"/>
  <c r="E185" i="2"/>
  <c r="B185" i="2"/>
  <c r="E184" i="2"/>
  <c r="B184" i="2"/>
  <c r="E183" i="2"/>
  <c r="B183" i="2"/>
  <c r="E182" i="2"/>
  <c r="B182" i="2"/>
  <c r="E181" i="2"/>
  <c r="B181" i="2"/>
  <c r="E180" i="2"/>
  <c r="B180" i="2"/>
  <c r="E179" i="2"/>
  <c r="B179" i="2"/>
  <c r="E178" i="2"/>
  <c r="B178" i="2"/>
  <c r="E177" i="2"/>
  <c r="B177" i="2"/>
  <c r="E176" i="2"/>
  <c r="B176" i="2"/>
  <c r="E175" i="2"/>
  <c r="B175" i="2"/>
  <c r="E174" i="2"/>
  <c r="B174" i="2"/>
  <c r="E173" i="2"/>
  <c r="B173" i="2"/>
  <c r="E172" i="2"/>
  <c r="B172" i="2"/>
  <c r="E171" i="2"/>
  <c r="B171" i="2"/>
  <c r="E170" i="2"/>
  <c r="B170" i="2"/>
  <c r="E169" i="2"/>
  <c r="B169" i="2"/>
  <c r="E168" i="2"/>
  <c r="B168" i="2"/>
  <c r="E167" i="2"/>
  <c r="B167" i="2"/>
  <c r="E166" i="2"/>
  <c r="B166" i="2"/>
  <c r="E165" i="2"/>
  <c r="B165" i="2"/>
  <c r="E164" i="2"/>
  <c r="B164" i="2"/>
  <c r="E163" i="2"/>
  <c r="B163" i="2"/>
  <c r="E162" i="2"/>
  <c r="B162" i="2"/>
  <c r="E161" i="2"/>
  <c r="B161" i="2"/>
  <c r="E160" i="2"/>
  <c r="B160" i="2"/>
  <c r="E159" i="2"/>
  <c r="B159" i="2"/>
  <c r="E158" i="2"/>
  <c r="B158" i="2"/>
  <c r="E157" i="2"/>
  <c r="B157" i="2"/>
  <c r="E156" i="2"/>
  <c r="B156" i="2"/>
  <c r="E155" i="2"/>
  <c r="B155" i="2"/>
  <c r="E154" i="2"/>
  <c r="B154" i="2"/>
  <c r="E153" i="2"/>
  <c r="B153" i="2"/>
  <c r="E152" i="2"/>
  <c r="B152" i="2"/>
  <c r="E151" i="2"/>
  <c r="B151" i="2"/>
  <c r="E150" i="2"/>
  <c r="B150" i="2"/>
  <c r="E149" i="2"/>
  <c r="B149" i="2"/>
  <c r="E148" i="2"/>
  <c r="B148" i="2"/>
  <c r="E147" i="2"/>
  <c r="B147" i="2"/>
  <c r="E146" i="2"/>
  <c r="B146" i="2"/>
  <c r="E145" i="2"/>
  <c r="B145" i="2"/>
  <c r="E144" i="2"/>
  <c r="B144" i="2"/>
  <c r="E143" i="2"/>
  <c r="B143" i="2"/>
  <c r="E142" i="2"/>
  <c r="B142" i="2"/>
  <c r="E141" i="2"/>
  <c r="B141" i="2"/>
  <c r="E140" i="2"/>
  <c r="B140" i="2"/>
  <c r="E139" i="2"/>
  <c r="B139" i="2"/>
  <c r="E138" i="2"/>
  <c r="B138" i="2"/>
  <c r="E137" i="2"/>
  <c r="B137" i="2"/>
  <c r="E136" i="2"/>
  <c r="B136" i="2"/>
  <c r="E135" i="2"/>
  <c r="B135" i="2"/>
  <c r="E134" i="2"/>
  <c r="B134" i="2"/>
  <c r="E133" i="2"/>
  <c r="B133" i="2"/>
  <c r="E132" i="2"/>
  <c r="B132" i="2"/>
  <c r="E131" i="2"/>
  <c r="B131" i="2"/>
  <c r="E130" i="2"/>
  <c r="B130" i="2"/>
  <c r="E129" i="2"/>
  <c r="B129" i="2"/>
  <c r="E128" i="2"/>
  <c r="B128" i="2"/>
  <c r="E127" i="2"/>
  <c r="B127" i="2"/>
  <c r="E126" i="2"/>
  <c r="B126" i="2"/>
  <c r="E125" i="2"/>
  <c r="B125" i="2"/>
  <c r="E124" i="2"/>
  <c r="B124" i="2"/>
  <c r="E123" i="2"/>
  <c r="B123" i="2"/>
  <c r="E122" i="2"/>
  <c r="B122" i="2"/>
  <c r="E121" i="2"/>
  <c r="B121" i="2"/>
  <c r="E120" i="2"/>
  <c r="B120" i="2"/>
  <c r="E119" i="2"/>
  <c r="B119" i="2"/>
  <c r="E118" i="2"/>
  <c r="B118" i="2"/>
  <c r="E117" i="2"/>
  <c r="B117" i="2"/>
  <c r="E116" i="2"/>
  <c r="B116" i="2"/>
  <c r="E115" i="2"/>
  <c r="B115" i="2"/>
  <c r="E114" i="2"/>
  <c r="B114" i="2"/>
  <c r="E113" i="2"/>
  <c r="B113" i="2"/>
  <c r="E112" i="2"/>
  <c r="B112" i="2"/>
  <c r="E111" i="2"/>
  <c r="B111" i="2"/>
  <c r="E110" i="2"/>
  <c r="B110" i="2"/>
  <c r="E109" i="2"/>
  <c r="B109" i="2"/>
  <c r="E108" i="2"/>
  <c r="B108" i="2"/>
  <c r="E107" i="2"/>
  <c r="B107" i="2"/>
  <c r="E106" i="2"/>
  <c r="B106" i="2"/>
  <c r="E105" i="2"/>
  <c r="B105" i="2"/>
  <c r="E104" i="2"/>
  <c r="B104" i="2"/>
  <c r="E103" i="2"/>
  <c r="B103" i="2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B93" i="2"/>
  <c r="E92" i="2"/>
  <c r="B92" i="2"/>
  <c r="E91" i="2"/>
  <c r="B91" i="2"/>
  <c r="E90" i="2"/>
  <c r="B90" i="2"/>
  <c r="E89" i="2"/>
  <c r="B89" i="2"/>
  <c r="E88" i="2"/>
  <c r="B88" i="2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E45" i="2"/>
  <c r="B45" i="2"/>
  <c r="E44" i="2"/>
  <c r="B44" i="2"/>
  <c r="E43" i="2"/>
  <c r="B43" i="2"/>
  <c r="E42" i="2"/>
  <c r="B42" i="2"/>
  <c r="E41" i="2"/>
  <c r="B41" i="2"/>
  <c r="E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E3" i="2"/>
  <c r="B3" i="2"/>
  <c r="E2" i="2"/>
  <c r="B2" i="2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2" i="4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<sst xmlns="http://schemas.openxmlformats.org/spreadsheetml/2006/main" count="44" uniqueCount="43">
  <si>
    <t>Parameter</t>
  </si>
  <si>
    <t>Value</t>
  </si>
  <si>
    <t>Description</t>
  </si>
  <si>
    <t>x_prime</t>
  </si>
  <si>
    <t>Target position (peak)</t>
  </si>
  <si>
    <t>HOW TO USE THIS</t>
  </si>
  <si>
    <t>x_far</t>
  </si>
  <si>
    <t>Away position for convergence check</t>
  </si>
  <si>
    <t>Enter your roll number in cell C3
This act as x' in dirac delta function
generator</t>
  </si>
  <si>
    <t>L</t>
  </si>
  <si>
    <t>Integral upper limit</t>
  </si>
  <si>
    <t>This program  uses 500 terms but you can extend it easilly to 1000 and beyond by just dragging</t>
  </si>
  <si>
    <t>n1</t>
  </si>
  <si>
    <t>Low-n approximation</t>
  </si>
  <si>
    <t>1. First and second plot is in "Point Convergence " sheet</t>
  </si>
  <si>
    <t>n2</t>
  </si>
  <si>
    <t>High-n approximation</t>
  </si>
  <si>
    <t>2. For the first plot, take column A and column B</t>
  </si>
  <si>
    <t>k_max</t>
  </si>
  <si>
    <t>Terms for convergence sheets (Max 1000 recommended)</t>
  </si>
  <si>
    <t>3. For the second plot, take column A and column C</t>
  </si>
  <si>
    <t>a1</t>
  </si>
  <si>
    <t>b1</t>
  </si>
  <si>
    <t>4. For the third plot use "Spatial DDF" sheet take column A and C for the plot
    use n1 and n2 for two graphs : for n1 C6 cell and for n2 its C7 cell, currently its n1=20 and n2=100</t>
  </si>
  <si>
    <t>a2</t>
  </si>
  <si>
    <t>5. Fot fourth , fifth and sisth plot use sheet Integration  and take column A and C for fourth, A and F for fifth and A and I for sixth</t>
  </si>
  <si>
    <t>b2</t>
  </si>
  <si>
    <t>a3</t>
  </si>
  <si>
    <t>b3</t>
  </si>
  <si>
    <t>k</t>
  </si>
  <si>
    <t>Term (x=x')</t>
  </si>
  <si>
    <t>CumSum (x=x')</t>
  </si>
  <si>
    <t>Term (x=x_far)</t>
  </si>
  <si>
    <t>CumSum (x=x_far)</t>
  </si>
  <si>
    <t>x</t>
  </si>
  <si>
    <t>delta_n1</t>
  </si>
  <si>
    <t>delta_n2</t>
  </si>
  <si>
    <t>Term (xp &lt; L)</t>
  </si>
  <si>
    <t>CumSum 1</t>
  </si>
  <si>
    <t>Term (xp &gt; L)</t>
  </si>
  <si>
    <t>CumSum 2</t>
  </si>
  <si>
    <t>Term (xp = L)</t>
  </si>
  <si>
    <t>CumSum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</si>
</sst>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20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6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Spatial DDF (delta_n)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'Spatial DDF'!B1</c:f>
              <c:strCache>
                <c:ptCount val="1"/>
                <c:pt idx="0">
                  <c:v>delta_n1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'Spatial DDF'!$A$2:$A$102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'Spatial DDF'!$B$2:$B$102</c:f>
              <c:numCache>
                <c:formatCode>General</c:formatCode>
                <c:ptCount val="101"/>
                <c:pt idx="0">
                  <c:v>0</c:v>
                </c:pt>
                <c:pt idx="1">
                  <c:v>-0.26755583358561519</c:v>
                </c:pt>
                <c:pt idx="2">
                  <c:v>-0.45270620606938095</c:v>
                </c:pt>
                <c:pt idx="3">
                  <c:v>-0.49595674722627825</c:v>
                </c:pt>
                <c:pt idx="4">
                  <c:v>-0.37843108413490467</c:v>
                </c:pt>
                <c:pt idx="5">
                  <c:v>-0.1297449277596332</c:v>
                </c:pt>
                <c:pt idx="6">
                  <c:v>0.17710722931618783</c:v>
                </c:pt>
                <c:pt idx="7">
                  <c:v>0.44431445909970946</c:v>
                </c:pt>
                <c:pt idx="8">
                  <c:v>0.57794645503893483</c:v>
                </c:pt>
                <c:pt idx="9">
                  <c:v>0.51949118764925084</c:v>
                </c:pt>
                <c:pt idx="10">
                  <c:v>0.27026481236726124</c:v>
                </c:pt>
                <c:pt idx="11">
                  <c:v>-0.10105925487056155</c:v>
                </c:pt>
                <c:pt idx="12">
                  <c:v>-0.47358991696827846</c:v>
                </c:pt>
                <c:pt idx="13">
                  <c:v>-0.71063319695064409</c:v>
                </c:pt>
                <c:pt idx="14">
                  <c:v>-0.70768684575717467</c:v>
                </c:pt>
                <c:pt idx="15">
                  <c:v>-0.43601666316643561</c:v>
                </c:pt>
                <c:pt idx="16">
                  <c:v>3.5478470283339947E-2</c:v>
                </c:pt>
                <c:pt idx="17">
                  <c:v>0.55212857369515045</c:v>
                </c:pt>
                <c:pt idx="18">
                  <c:v>0.92009285054754875</c:v>
                </c:pt>
                <c:pt idx="19">
                  <c:v>0.97533904624842815</c:v>
                </c:pt>
                <c:pt idx="20">
                  <c:v>0.65183892035418667</c:v>
                </c:pt>
                <c:pt idx="21">
                  <c:v>2.2322832289496275E-2</c:v>
                </c:pt>
                <c:pt idx="22">
                  <c:v>-0.70865959842611792</c:v>
                </c:pt>
                <c:pt idx="23">
                  <c:v>-1.2642719379715333</c:v>
                </c:pt>
                <c:pt idx="24">
                  <c:v>-1.3927470522151686</c:v>
                </c:pt>
                <c:pt idx="25">
                  <c:v>-0.9708285912082768</c:v>
                </c:pt>
                <c:pt idx="26">
                  <c:v>-7.4254973090055798E-2</c:v>
                </c:pt>
                <c:pt idx="27">
                  <c:v>1.0172069065706926</c:v>
                </c:pt>
                <c:pt idx="28">
                  <c:v>1.8928302455804746</c:v>
                </c:pt>
                <c:pt idx="29">
                  <c:v>2.1473149244040544</c:v>
                </c:pt>
                <c:pt idx="30">
                  <c:v>1.539952307766852</c:v>
                </c:pt>
                <c:pt idx="31">
                  <c:v>0.12172488982119367</c:v>
                </c:pt>
                <c:pt idx="32">
                  <c:v>-1.7206894703589861</c:v>
                </c:pt>
                <c:pt idx="33">
                  <c:v>-3.3323554623904883</c:v>
                </c:pt>
                <c:pt idx="34">
                  <c:v>-3.961789575592797</c:v>
                </c:pt>
                <c:pt idx="35">
                  <c:v>-2.9926989090668483</c:v>
                </c:pt>
                <c:pt idx="36">
                  <c:v>-0.16580434759894991</c:v>
                </c:pt>
                <c:pt idx="37">
                  <c:v>4.2834732385439258</c:v>
                </c:pt>
                <c:pt idx="38">
                  <c:v>9.6251573039715481</c:v>
                </c:pt>
                <c:pt idx="39">
                  <c:v>14.786063022042793</c:v>
                </c:pt>
                <c:pt idx="40">
                  <c:v>18.617833654898163</c:v>
                </c:pt>
                <c:pt idx="41">
                  <c:v>20.207337772685712</c:v>
                </c:pt>
                <c:pt idx="42">
                  <c:v>19.137174016102527</c:v>
                </c:pt>
                <c:pt idx="43">
                  <c:v>15.615112718202031</c:v>
                </c:pt>
                <c:pt idx="44">
                  <c:v>10.429043864881775</c:v>
                </c:pt>
                <c:pt idx="45">
                  <c:v>4.7369823106345548</c:v>
                </c:pt>
                <c:pt idx="46">
                  <c:v>-0.24701433470602263</c:v>
                </c:pt>
                <c:pt idx="47">
                  <c:v>-3.5773643590273316</c:v>
                </c:pt>
                <c:pt idx="48">
                  <c:v>-4.8150055984827196</c:v>
                </c:pt>
                <c:pt idx="49">
                  <c:v>-4.1096852635729055</c:v>
                </c:pt>
                <c:pt idx="50">
                  <c:v>-2.1068243380124918</c:v>
                </c:pt>
                <c:pt idx="51">
                  <c:v>0.28541831352718994</c:v>
                </c:pt>
                <c:pt idx="52">
                  <c:v>2.1904470056152721</c:v>
                </c:pt>
                <c:pt idx="53">
                  <c:v>3.0240423890423349</c:v>
                </c:pt>
                <c:pt idx="54">
                  <c:v>2.6417306072135442</c:v>
                </c:pt>
                <c:pt idx="55">
                  <c:v>1.3332901855621602</c:v>
                </c:pt>
                <c:pt idx="56">
                  <c:v>-0.32306615942388284</c:v>
                </c:pt>
                <c:pt idx="57">
                  <c:v>-1.6887091226228956</c:v>
                </c:pt>
                <c:pt idx="58">
                  <c:v>-2.2926387151007739</c:v>
                </c:pt>
                <c:pt idx="59">
                  <c:v>-1.9822705032006831</c:v>
                </c:pt>
                <c:pt idx="60">
                  <c:v>-0.95069607711388571</c:v>
                </c:pt>
                <c:pt idx="61">
                  <c:v>0.36043558036420575</c:v>
                </c:pt>
                <c:pt idx="62">
                  <c:v>1.4398324552541177</c:v>
                </c:pt>
                <c:pt idx="63">
                  <c:v>1.8983377002182007</c:v>
                </c:pt>
                <c:pt idx="64">
                  <c:v>1.6039405223214587</c:v>
                </c:pt>
                <c:pt idx="65">
                  <c:v>0.71450700875072604</c:v>
                </c:pt>
                <c:pt idx="66">
                  <c:v>-0.39799031126748297</c:v>
                </c:pt>
                <c:pt idx="67">
                  <c:v>-1.2982359715656793</c:v>
                </c:pt>
                <c:pt idx="68">
                  <c:v>-1.6540224576389577</c:v>
                </c:pt>
                <c:pt idx="69">
                  <c:v>-1.3560404907691588</c:v>
                </c:pt>
                <c:pt idx="70">
                  <c:v>-0.54861701473127122</c:v>
                </c:pt>
                <c:pt idx="71">
                  <c:v>0.43620336949739325</c:v>
                </c:pt>
                <c:pt idx="72">
                  <c:v>1.2125607430005572</c:v>
                </c:pt>
                <c:pt idx="73">
                  <c:v>1.4896924699085936</c:v>
                </c:pt>
                <c:pt idx="74">
                  <c:v>1.1791812883596644</c:v>
                </c:pt>
                <c:pt idx="75">
                  <c:v>0.42148649050121101</c:v>
                </c:pt>
                <c:pt idx="76">
                  <c:v>-0.47558131335253351</c:v>
                </c:pt>
                <c:pt idx="77">
                  <c:v>-1.1602714012122717</c:v>
                </c:pt>
                <c:pt idx="78">
                  <c:v>-1.3733527586918137</c:v>
                </c:pt>
                <c:pt idx="79">
                  <c:v>-1.0452100860864064</c:v>
                </c:pt>
                <c:pt idx="80">
                  <c:v>-0.31754497294736295</c:v>
                </c:pt>
                <c:pt idx="81">
                  <c:v>0.51669221016869449</c:v>
                </c:pt>
                <c:pt idx="82">
                  <c:v>1.1301323767840268</c:v>
                </c:pt>
                <c:pt idx="83">
                  <c:v>1.2884246530435211</c:v>
                </c:pt>
                <c:pt idx="84">
                  <c:v>0.93904779403229788</c:v>
                </c:pt>
                <c:pt idx="85">
                  <c:v>0.22807646232233822</c:v>
                </c:pt>
                <c:pt idx="86">
                  <c:v>-0.56020074422824562</c:v>
                </c:pt>
                <c:pt idx="87">
                  <c:v>-1.1161393563171342</c:v>
                </c:pt>
                <c:pt idx="88">
                  <c:v>-1.2255922384320961</c:v>
                </c:pt>
                <c:pt idx="89">
                  <c:v>-0.85187766475775306</c:v>
                </c:pt>
                <c:pt idx="90">
                  <c:v>-0.14766552831235299</c:v>
                </c:pt>
                <c:pt idx="91">
                  <c:v>0.6069153749782763</c:v>
                </c:pt>
                <c:pt idx="92">
                  <c:v>1.1150552922492185</c:v>
                </c:pt>
                <c:pt idx="93">
                  <c:v>1.1793753666493685</c:v>
                </c:pt>
                <c:pt idx="94">
                  <c:v>0.77818892512694515</c:v>
                </c:pt>
                <c:pt idx="95">
                  <c:v>7.2591271410640534E-2</c:v>
                </c:pt>
                <c:pt idx="96">
                  <c:v>-0.65785518419781341</c:v>
                </c:pt>
                <c:pt idx="97">
                  <c:v>-1.1253147896369176</c:v>
                </c:pt>
                <c:pt idx="98">
                  <c:v>-1.1465381646071278</c:v>
                </c:pt>
                <c:pt idx="99">
                  <c:v>-0.71434902958269342</c:v>
                </c:pt>
                <c:pt idx="100">
                  <c:v>8.4350820748127081E-15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C6-4BD6-BC72-19422D3A3B4E}"/>
            </c:ext>
          </c:extLst>
        </c:ser>
        <c:ser>
          <c:idx val="1"/>
          <c:order val="1"/>
          <c:tx>
            <c:strRef>
              <c:f>'Spatial DDF'!C1</c:f>
              <c:strCache>
                <c:ptCount val="1"/>
                <c:pt idx="0">
                  <c:v>delta_n2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'Spatial DDF'!$A$2:$A$102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'Spatial DDF'!$C$2:$C$102</c:f>
              <c:numCache>
                <c:formatCode>General</c:formatCode>
                <c:ptCount val="101"/>
                <c:pt idx="0">
                  <c:v>0</c:v>
                </c:pt>
                <c:pt idx="1">
                  <c:v>-3.9405978480289144E-14</c:v>
                </c:pt>
                <c:pt idx="2">
                  <c:v>8.576472865229333E-14</c:v>
                </c:pt>
                <c:pt idx="3">
                  <c:v>-5.0542903196060239E-14</c:v>
                </c:pt>
                <c:pt idx="4">
                  <c:v>7.4329431498654218E-14</c:v>
                </c:pt>
                <c:pt idx="5">
                  <c:v>-1.1834977442504171E-13</c:v>
                </c:pt>
                <c:pt idx="6">
                  <c:v>4.2632564145605986E-14</c:v>
                </c:pt>
                <c:pt idx="7">
                  <c:v>-4.168887457467471E-14</c:v>
                </c:pt>
                <c:pt idx="8">
                  <c:v>8.4210416417818098E-14</c:v>
                </c:pt>
                <c:pt idx="9">
                  <c:v>-3.1197266991966867E-14</c:v>
                </c:pt>
                <c:pt idx="10">
                  <c:v>4.1966430330830993E-14</c:v>
                </c:pt>
                <c:pt idx="11">
                  <c:v>-1.5543122344752261E-14</c:v>
                </c:pt>
                <c:pt idx="12">
                  <c:v>1.8651746813702583E-14</c:v>
                </c:pt>
                <c:pt idx="13">
                  <c:v>-3.685940441755526E-14</c:v>
                </c:pt>
                <c:pt idx="14">
                  <c:v>1.5765166949677393E-14</c:v>
                </c:pt>
                <c:pt idx="15">
                  <c:v>-2.2870594307278278E-14</c:v>
                </c:pt>
                <c:pt idx="16">
                  <c:v>6.6613381477508777E-15</c:v>
                </c:pt>
                <c:pt idx="17">
                  <c:v>-1.2878587085651862E-14</c:v>
                </c:pt>
                <c:pt idx="18">
                  <c:v>1.2434497875801684E-14</c:v>
                </c:pt>
                <c:pt idx="19">
                  <c:v>-6.5281113847959242E-14</c:v>
                </c:pt>
                <c:pt idx="20">
                  <c:v>-3.552713678800355E-15</c:v>
                </c:pt>
                <c:pt idx="21">
                  <c:v>2.1538326677728005E-14</c:v>
                </c:pt>
                <c:pt idx="22">
                  <c:v>4.9293902293357089E-14</c:v>
                </c:pt>
                <c:pt idx="23">
                  <c:v>-7.638334409421101E-14</c:v>
                </c:pt>
                <c:pt idx="24">
                  <c:v>2.4646951146678384E-14</c:v>
                </c:pt>
                <c:pt idx="25">
                  <c:v>8.8817841970010985E-16</c:v>
                </c:pt>
                <c:pt idx="26">
                  <c:v>2.3758772726978473E-14</c:v>
                </c:pt>
                <c:pt idx="27">
                  <c:v>-4.01900734914309E-14</c:v>
                </c:pt>
                <c:pt idx="28">
                  <c:v>7.3940853440035766E-14</c:v>
                </c:pt>
                <c:pt idx="29">
                  <c:v>4.0856207306205761E-14</c:v>
                </c:pt>
                <c:pt idx="30">
                  <c:v>-2.2204460492503024E-14</c:v>
                </c:pt>
                <c:pt idx="31">
                  <c:v>-1.2190248810384242E-13</c:v>
                </c:pt>
                <c:pt idx="32">
                  <c:v>1.6298074001497285E-13</c:v>
                </c:pt>
                <c:pt idx="33">
                  <c:v>-4.0634162701280717E-14</c:v>
                </c:pt>
                <c:pt idx="34">
                  <c:v>6.6613381477518612E-16</c:v>
                </c:pt>
                <c:pt idx="35">
                  <c:v>-1.123545700920656E-13</c:v>
                </c:pt>
                <c:pt idx="36">
                  <c:v>1.4943601911454594E-13</c:v>
                </c:pt>
                <c:pt idx="37">
                  <c:v>2.7533531010703914E-14</c:v>
                </c:pt>
                <c:pt idx="38">
                  <c:v>-1.1324274851176519E-14</c:v>
                </c:pt>
                <c:pt idx="39">
                  <c:v>-1.7563728249569994E-13</c:v>
                </c:pt>
                <c:pt idx="40">
                  <c:v>5.8664184621193302E-13</c:v>
                </c:pt>
                <c:pt idx="41">
                  <c:v>99.999999999999929</c:v>
                </c:pt>
                <c:pt idx="42">
                  <c:v>-1.2412293415309245E-13</c:v>
                </c:pt>
                <c:pt idx="43">
                  <c:v>9.8587804586714178E-14</c:v>
                </c:pt>
                <c:pt idx="44">
                  <c:v>3.9745984281580882E-14</c:v>
                </c:pt>
                <c:pt idx="45">
                  <c:v>3.3306690738755312E-15</c:v>
                </c:pt>
                <c:pt idx="46">
                  <c:v>-2.4424906541752952E-14</c:v>
                </c:pt>
                <c:pt idx="47">
                  <c:v>1.9984014443251279E-15</c:v>
                </c:pt>
                <c:pt idx="48">
                  <c:v>3.5527136788003163E-15</c:v>
                </c:pt>
                <c:pt idx="49">
                  <c:v>-1.0769163338864055E-13</c:v>
                </c:pt>
                <c:pt idx="50">
                  <c:v>-7.0610184366159931E-14</c:v>
                </c:pt>
                <c:pt idx="51">
                  <c:v>1.2212453270876752E-13</c:v>
                </c:pt>
                <c:pt idx="52">
                  <c:v>1.5765166949677469E-14</c:v>
                </c:pt>
                <c:pt idx="53">
                  <c:v>4.4408920985015481E-16</c:v>
                </c:pt>
                <c:pt idx="54">
                  <c:v>-6.1062266354383143E-14</c:v>
                </c:pt>
                <c:pt idx="55">
                  <c:v>3.7969627442180234E-14</c:v>
                </c:pt>
                <c:pt idx="56">
                  <c:v>4.1966430330831592E-14</c:v>
                </c:pt>
                <c:pt idx="57">
                  <c:v>-1.8429702208777046E-14</c:v>
                </c:pt>
                <c:pt idx="58">
                  <c:v>6.8167693711984612E-14</c:v>
                </c:pt>
                <c:pt idx="59">
                  <c:v>-2.5757174171303294E-14</c:v>
                </c:pt>
                <c:pt idx="60">
                  <c:v>7.6383344094210985E-14</c:v>
                </c:pt>
                <c:pt idx="61">
                  <c:v>-6.4392935428258953E-14</c:v>
                </c:pt>
                <c:pt idx="62">
                  <c:v>-9.1038288019258529E-15</c:v>
                </c:pt>
                <c:pt idx="63">
                  <c:v>3.2418512319054476E-14</c:v>
                </c:pt>
                <c:pt idx="64">
                  <c:v>-2.4202861936828659E-14</c:v>
                </c:pt>
                <c:pt idx="65">
                  <c:v>5.1514348342606954E-14</c:v>
                </c:pt>
                <c:pt idx="66">
                  <c:v>6.0396132539608491E-14</c:v>
                </c:pt>
                <c:pt idx="67">
                  <c:v>-2.2204460492555383E-16</c:v>
                </c:pt>
                <c:pt idx="68">
                  <c:v>5.6843418860808204E-14</c:v>
                </c:pt>
                <c:pt idx="69">
                  <c:v>-3.3306690738753158E-15</c:v>
                </c:pt>
                <c:pt idx="70">
                  <c:v>5.5511151231257335E-14</c:v>
                </c:pt>
                <c:pt idx="71">
                  <c:v>-5.6177285046032984E-14</c:v>
                </c:pt>
                <c:pt idx="72">
                  <c:v>1.8163248682867533E-13</c:v>
                </c:pt>
                <c:pt idx="73">
                  <c:v>-6.9499961341535077E-14</c:v>
                </c:pt>
                <c:pt idx="74">
                  <c:v>3.0420110874729226E-14</c:v>
                </c:pt>
                <c:pt idx="75">
                  <c:v>1.4455103780619579E-13</c:v>
                </c:pt>
                <c:pt idx="76">
                  <c:v>8.3710816056736955E-14</c:v>
                </c:pt>
                <c:pt idx="77">
                  <c:v>-3.3972824553529607E-14</c:v>
                </c:pt>
                <c:pt idx="78">
                  <c:v>-4.1522341120980489E-14</c:v>
                </c:pt>
                <c:pt idx="79">
                  <c:v>1.2634338020234279E-13</c:v>
                </c:pt>
                <c:pt idx="80">
                  <c:v>-1.2634338020234223E-13</c:v>
                </c:pt>
                <c:pt idx="81">
                  <c:v>1.2034817586936672E-13</c:v>
                </c:pt>
                <c:pt idx="82">
                  <c:v>-2.9798385980939297E-13</c:v>
                </c:pt>
                <c:pt idx="83">
                  <c:v>1.0980105713542751E-13</c:v>
                </c:pt>
                <c:pt idx="84">
                  <c:v>1.3578027591165677E-13</c:v>
                </c:pt>
                <c:pt idx="85">
                  <c:v>6.7168492989822185E-14</c:v>
                </c:pt>
                <c:pt idx="86">
                  <c:v>-2.4169555246089713E-13</c:v>
                </c:pt>
                <c:pt idx="87">
                  <c:v>2.8954616482223992E-13</c:v>
                </c:pt>
                <c:pt idx="88">
                  <c:v>8.393286066166239E-14</c:v>
                </c:pt>
                <c:pt idx="89">
                  <c:v>-1.3500311979441926E-13</c:v>
                </c:pt>
                <c:pt idx="90">
                  <c:v>-1.0991207943789173E-14</c:v>
                </c:pt>
                <c:pt idx="91">
                  <c:v>-1.5409895581797127E-13</c:v>
                </c:pt>
                <c:pt idx="92">
                  <c:v>-4.4186876380080246E-14</c:v>
                </c:pt>
                <c:pt idx="93">
                  <c:v>-1.2451151221171196E-13</c:v>
                </c:pt>
                <c:pt idx="94">
                  <c:v>-1.5470957848151526E-13</c:v>
                </c:pt>
                <c:pt idx="95">
                  <c:v>1.1185496973098455E-13</c:v>
                </c:pt>
                <c:pt idx="96">
                  <c:v>-1.1551870571224792E-13</c:v>
                </c:pt>
                <c:pt idx="97">
                  <c:v>1.2023715356690516E-13</c:v>
                </c:pt>
                <c:pt idx="98">
                  <c:v>4.3465231414075617E-14</c:v>
                </c:pt>
                <c:pt idx="99">
                  <c:v>2.2801205368239112E-13</c:v>
                </c:pt>
                <c:pt idx="100">
                  <c:v>-4.2158004918553305E-14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C6-4BD6-BC72-19422D3A3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delta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Integral Convergence (3 Regions)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Integration!C1</c:f>
              <c:strCache>
                <c:ptCount val="1"/>
                <c:pt idx="0">
                  <c:v>CumSum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Integration!$A$2:$A$501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Integration!$C$2:$C$501</c:f>
              <c:numCache>
                <c:formatCode>General</c:formatCode>
                <c:ptCount val="500"/>
                <c:pt idx="0">
                  <c:v>0.42242689640466335</c:v>
                </c:pt>
                <c:pt idx="1">
                  <c:v>0.73097096466598199</c:v>
                </c:pt>
                <c:pt idx="2">
                  <c:v>0.47710304163756034</c:v>
                </c:pt>
                <c:pt idx="3">
                  <c:v>0.37759616961049958</c:v>
                </c:pt>
                <c:pt idx="4">
                  <c:v>0.37759616961049958</c:v>
                </c:pt>
                <c:pt idx="5">
                  <c:v>0.45033362837001767</c:v>
                </c:pt>
                <c:pt idx="6">
                  <c:v>0.51567330637583408</c:v>
                </c:pt>
                <c:pt idx="7">
                  <c:v>0.40475253272145689</c:v>
                </c:pt>
                <c:pt idx="8">
                  <c:v>0.36432727471289017</c:v>
                </c:pt>
                <c:pt idx="9">
                  <c:v>0.36432727471289017</c:v>
                </c:pt>
                <c:pt idx="10">
                  <c:v>0.40429785497569792</c:v>
                </c:pt>
                <c:pt idx="11">
                  <c:v>0.42816495476749428</c:v>
                </c:pt>
                <c:pt idx="12">
                  <c:v>0.35191274639778136</c:v>
                </c:pt>
                <c:pt idx="13">
                  <c:v>0.32900785211901251</c:v>
                </c:pt>
                <c:pt idx="14">
                  <c:v>0.32900785211901251</c:v>
                </c:pt>
                <c:pt idx="15">
                  <c:v>0.3560142097112397</c:v>
                </c:pt>
                <c:pt idx="16">
                  <c:v>0.36238952750391956</c:v>
                </c:pt>
                <c:pt idx="17">
                  <c:v>0.30290160213162565</c:v>
                </c:pt>
                <c:pt idx="18">
                  <c:v>0.28871140241948773</c:v>
                </c:pt>
                <c:pt idx="19">
                  <c:v>0.28871140241948773</c:v>
                </c:pt>
                <c:pt idx="20">
                  <c:v>0.30842032059159524</c:v>
                </c:pt>
                <c:pt idx="21">
                  <c:v>0.30513336251189882</c:v>
                </c:pt>
                <c:pt idx="22">
                  <c:v>0.25626725895257574</c:v>
                </c:pt>
                <c:pt idx="23">
                  <c:v>0.24743724717173204</c:v>
                </c:pt>
                <c:pt idx="24">
                  <c:v>0.24743724717173204</c:v>
                </c:pt>
                <c:pt idx="25">
                  <c:v>0.26226346114351679</c:v>
                </c:pt>
                <c:pt idx="26">
                  <c:v>0.25295879558742168</c:v>
                </c:pt>
                <c:pt idx="27">
                  <c:v>0.21190938640355828</c:v>
                </c:pt>
                <c:pt idx="28">
                  <c:v>0.2067711591530163</c:v>
                </c:pt>
                <c:pt idx="29">
                  <c:v>0.2067711591530163</c:v>
                </c:pt>
                <c:pt idx="30">
                  <c:v>0.2179835465559507</c:v>
                </c:pt>
                <c:pt idx="31">
                  <c:v>0.20473502014586109</c:v>
                </c:pt>
                <c:pt idx="32">
                  <c:v>0.16999123538428718</c:v>
                </c:pt>
                <c:pt idx="33">
                  <c:v>0.16756688797935526</c:v>
                </c:pt>
                <c:pt idx="34">
                  <c:v>0.16756688797935526</c:v>
                </c:pt>
                <c:pt idx="35">
                  <c:v>0.17593154864148502</c:v>
                </c:pt>
                <c:pt idx="36">
                  <c:v>0.16008720825863593</c:v>
                </c:pt>
                <c:pt idx="37">
                  <c:v>0.1307326136116895</c:v>
                </c:pt>
                <c:pt idx="38">
                  <c:v>0.13037832163779953</c:v>
                </c:pt>
                <c:pt idx="39">
                  <c:v>0.13037832163779953</c:v>
                </c:pt>
                <c:pt idx="40">
                  <c:v>0.13640897511971428</c:v>
                </c:pt>
                <c:pt idx="41">
                  <c:v>0.11893056668736585</c:v>
                </c:pt>
                <c:pt idx="42">
                  <c:v>9.435062228224611E-2</c:v>
                </c:pt>
                <c:pt idx="43">
                  <c:v>9.5603651094269576E-2</c:v>
                </c:pt>
                <c:pt idx="44">
                  <c:v>9.5603651094269576E-2</c:v>
                </c:pt>
                <c:pt idx="45">
                  <c:v>9.9675336286538574E-2</c:v>
                </c:pt>
                <c:pt idx="46">
                  <c:v>8.1295125555028769E-2</c:v>
                </c:pt>
                <c:pt idx="47">
                  <c:v>6.1037306585495575E-2</c:v>
                </c:pt>
                <c:pt idx="48">
                  <c:v>6.3541926144913191E-2</c:v>
                </c:pt>
                <c:pt idx="49">
                  <c:v>6.3541926144913191E-2</c:v>
                </c:pt>
                <c:pt idx="50">
                  <c:v>6.5948325329451815E-2</c:v>
                </c:pt>
                <c:pt idx="51">
                  <c:v>4.7248800126805969E-2</c:v>
                </c:pt>
                <c:pt idx="52">
                  <c:v>3.0949367968674441E-2</c:v>
                </c:pt>
                <c:pt idx="53">
                  <c:v>3.4417840539866504E-2</c:v>
                </c:pt>
                <c:pt idx="54">
                  <c:v>3.4417840539866504E-2</c:v>
                </c:pt>
                <c:pt idx="55">
                  <c:v>3.5402363177885102E-2</c:v>
                </c:pt>
                <c:pt idx="56">
                  <c:v>1.6859598100338932E-2</c:v>
                </c:pt>
                <c:pt idx="57">
                  <c:v>4.2028195803623224E-3</c:v>
                </c:pt>
                <c:pt idx="58">
                  <c:v>8.3936126779640737E-3</c:v>
                </c:pt>
                <c:pt idx="59">
                  <c:v>8.3936126779640737E-3</c:v>
                </c:pt>
                <c:pt idx="60">
                  <c:v>8.1670981372804381E-3</c:v>
                </c:pt>
                <c:pt idx="61">
                  <c:v>-9.8244276140735561E-3</c:v>
                </c:pt>
                <c:pt idx="62">
                  <c:v>-1.9129833870667752E-2</c:v>
                </c:pt>
                <c:pt idx="63">
                  <c:v>-1.442471224821976E-2</c:v>
                </c:pt>
                <c:pt idx="64">
                  <c:v>-1.442471224821976E-2</c:v>
                </c:pt>
                <c:pt idx="65">
                  <c:v>-1.5673618487123966E-2</c:v>
                </c:pt>
                <c:pt idx="66">
                  <c:v>-3.278622889207819E-2</c:v>
                </c:pt>
                <c:pt idx="67">
                  <c:v>-3.9020829555650019E-2</c:v>
                </c:pt>
                <c:pt idx="68">
                  <c:v>-3.398338014273742E-2</c:v>
                </c:pt>
                <c:pt idx="69">
                  <c:v>-3.398338014273742E-2</c:v>
                </c:pt>
                <c:pt idx="70">
                  <c:v>-3.6082092681691054E-2</c:v>
                </c:pt>
                <c:pt idx="71">
                  <c:v>-5.2045751808748958E-2</c:v>
                </c:pt>
                <c:pt idx="72">
                  <c:v>-5.5487203452784385E-2</c:v>
                </c:pt>
                <c:pt idx="73">
                  <c:v>-5.0277993138373549E-2</c:v>
                </c:pt>
                <c:pt idx="74">
                  <c:v>-5.0277993138373549E-2</c:v>
                </c:pt>
                <c:pt idx="75">
                  <c:v>-5.306641791127141E-2</c:v>
                </c:pt>
                <c:pt idx="76">
                  <c:v>-6.7662786506913306E-2</c:v>
                </c:pt>
                <c:pt idx="77">
                  <c:v>-6.8589877247340683E-2</c:v>
                </c:pt>
                <c:pt idx="78">
                  <c:v>-6.3350797733236097E-2</c:v>
                </c:pt>
                <c:pt idx="79">
                  <c:v>-6.3350797733236097E-2</c:v>
                </c:pt>
                <c:pt idx="80">
                  <c:v>-6.6679363097811542E-2</c:v>
                </c:pt>
                <c:pt idx="81">
                  <c:v>-7.9737688179534583E-2</c:v>
                </c:pt>
                <c:pt idx="82">
                  <c:v>-7.8431900197901472E-2</c:v>
                </c:pt>
                <c:pt idx="83">
                  <c:v>-7.3287832085096261E-2</c:v>
                </c:pt>
                <c:pt idx="84">
                  <c:v>-7.3287832085096261E-2</c:v>
                </c:pt>
                <c:pt idx="85">
                  <c:v>-7.7016535804895703E-2</c:v>
                </c:pt>
                <c:pt idx="86">
                  <c:v>-8.8410543952094189E-2</c:v>
                </c:pt>
                <c:pt idx="87">
                  <c:v>-8.5155939435031289E-2</c:v>
                </c:pt>
                <c:pt idx="88">
                  <c:v>-8.0215755357605514E-2</c:v>
                </c:pt>
                <c:pt idx="89">
                  <c:v>-8.0215755357605514E-2</c:v>
                </c:pt>
                <c:pt idx="90">
                  <c:v>-8.4213857798013117E-2</c:v>
                </c:pt>
                <c:pt idx="91">
                  <c:v>-9.3859142463611198E-2</c:v>
                </c:pt>
                <c:pt idx="92">
                  <c:v>-8.894110218360371E-2</c:v>
                </c:pt>
                <c:pt idx="93">
                  <c:v>-8.4298285667038689E-2</c:v>
                </c:pt>
                <c:pt idx="94">
                  <c:v>-8.4298285667038689E-2</c:v>
                </c:pt>
                <c:pt idx="95">
                  <c:v>-8.8444405334832762E-2</c:v>
                </c:pt>
                <c:pt idx="96">
                  <c:v>-9.6295990583134511E-2</c:v>
                </c:pt>
                <c:pt idx="97">
                  <c:v>-8.9999172863515914E-2</c:v>
                </c:pt>
                <c:pt idx="98">
                  <c:v>-8.5732234515994002E-2</c:v>
                </c:pt>
                <c:pt idx="99">
                  <c:v>-8.5732234515994002E-2</c:v>
                </c:pt>
                <c:pt idx="100">
                  <c:v>-8.9914679034851966E-2</c:v>
                </c:pt>
                <c:pt idx="101">
                  <c:v>-9.5964562726250591E-2</c:v>
                </c:pt>
                <c:pt idx="102">
                  <c:v>-8.8570351375908449E-2</c:v>
                </c:pt>
                <c:pt idx="103">
                  <c:v>-8.4743163990252224E-2</c:v>
                </c:pt>
                <c:pt idx="104">
                  <c:v>-8.4743163990252224E-2</c:v>
                </c:pt>
                <c:pt idx="105">
                  <c:v>-8.886037863701729E-2</c:v>
                </c:pt>
                <c:pt idx="106">
                  <c:v>-9.3134937011229796E-2</c:v>
                </c:pt>
                <c:pt idx="107">
                  <c:v>-8.4918583407201972E-2</c:v>
                </c:pt>
                <c:pt idx="108">
                  <c:v>-8.1580718067044894E-2</c:v>
                </c:pt>
                <c:pt idx="109">
                  <c:v>-8.1580718067044894E-2</c:v>
                </c:pt>
                <c:pt idx="110">
                  <c:v>-8.554176656155732E-2</c:v>
                </c:pt>
                <c:pt idx="111">
                  <c:v>-8.8098955824964312E-2</c:v>
                </c:pt>
                <c:pt idx="112">
                  <c:v>-7.9326577870926618E-2</c:v>
                </c:pt>
                <c:pt idx="113">
                  <c:v>-7.6513696117393434E-2</c:v>
                </c:pt>
                <c:pt idx="114">
                  <c:v>-7.6513696117393434E-2</c:v>
                </c:pt>
                <c:pt idx="115">
                  <c:v>-8.0238710957700618E-2</c:v>
                </c:pt>
                <c:pt idx="116">
                  <c:v>-8.1165039183987653E-2</c:v>
                </c:pt>
                <c:pt idx="117">
                  <c:v>-7.209060988990898E-2</c:v>
                </c:pt>
                <c:pt idx="118">
                  <c:v>-6.9824947750996069E-2</c:v>
                </c:pt>
                <c:pt idx="119">
                  <c:v>-6.9824947750996069E-2</c:v>
                </c:pt>
                <c:pt idx="120">
                  <c:v>-7.3245503797394917E-2</c:v>
                </c:pt>
                <c:pt idx="121">
                  <c:v>-7.2652773651876071E-2</c:v>
                </c:pt>
                <c:pt idx="122">
                  <c:v>-6.3515209571677472E-2</c:v>
                </c:pt>
                <c:pt idx="123">
                  <c:v>-6.1806175033449484E-2</c:v>
                </c:pt>
                <c:pt idx="124">
                  <c:v>-6.1806175033449484E-2</c:v>
                </c:pt>
                <c:pt idx="125">
                  <c:v>-6.4865552519690728E-2</c:v>
                </c:pt>
                <c:pt idx="126">
                  <c:v>-6.2887395275481678E-2</c:v>
                </c:pt>
                <c:pt idx="127">
                  <c:v>-5.3907837016511556E-2</c:v>
                </c:pt>
                <c:pt idx="128">
                  <c:v>-5.2752731665614387E-2</c:v>
                </c:pt>
                <c:pt idx="129">
                  <c:v>-5.2752731665614387E-2</c:v>
                </c:pt>
                <c:pt idx="130">
                  <c:v>-5.5406044715163749E-2</c:v>
                </c:pt>
                <c:pt idx="131">
                  <c:v>-5.2194280736960343E-2</c:v>
                </c:pt>
                <c:pt idx="132">
                  <c:v>-4.3573642412659951E-2</c:v>
                </c:pt>
                <c:pt idx="133">
                  <c:v>-4.2958509489020399E-2</c:v>
                </c:pt>
                <c:pt idx="134">
                  <c:v>-4.2958509489020399E-2</c:v>
                </c:pt>
                <c:pt idx="135">
                  <c:v>-4.5172684370172439E-2</c:v>
                </c:pt>
                <c:pt idx="136">
                  <c:v>-4.0893555945607507E-2</c:v>
                </c:pt>
                <c:pt idx="137">
                  <c:v>-3.2810406694998996E-2</c:v>
                </c:pt>
                <c:pt idx="138">
                  <c:v>-3.2711001033260079E-2</c:v>
                </c:pt>
                <c:pt idx="139">
                  <c:v>-3.2711001033260079E-2</c:v>
                </c:pt>
                <c:pt idx="140">
                  <c:v>-3.4464595308143067E-2</c:v>
                </c:pt>
                <c:pt idx="141">
                  <c:v>-2.9294925208434547E-2</c:v>
                </c:pt>
                <c:pt idx="142">
                  <c:v>-2.1903753114587268E-2</c:v>
                </c:pt>
                <c:pt idx="143">
                  <c:v>-2.2286623029372246E-2</c:v>
                </c:pt>
                <c:pt idx="144">
                  <c:v>-2.2286623029372246E-2</c:v>
                </c:pt>
                <c:pt idx="145">
                  <c:v>-2.3569482747484397E-2</c:v>
                </c:pt>
                <c:pt idx="146">
                  <c:v>-1.7692816731287524E-2</c:v>
                </c:pt>
                <c:pt idx="147">
                  <c:v>-1.1122713281709102E-2</c:v>
                </c:pt>
                <c:pt idx="148">
                  <c:v>-1.1946380116685404E-2</c:v>
                </c:pt>
                <c:pt idx="149">
                  <c:v>-1.1946380116685404E-2</c:v>
                </c:pt>
                <c:pt idx="150">
                  <c:v>-1.2759137457158681E-2</c:v>
                </c:pt>
                <c:pt idx="151">
                  <c:v>-6.3619314667799709E-3</c:v>
                </c:pt>
                <c:pt idx="152">
                  <c:v>-7.1572294141403637E-4</c:v>
                </c:pt>
                <c:pt idx="153">
                  <c:v>-1.9319405962476574E-3</c:v>
                </c:pt>
                <c:pt idx="154">
                  <c:v>-1.9319405962476574E-3</c:v>
                </c:pt>
                <c:pt idx="155">
                  <c:v>-2.2853589791261169E-3</c:v>
                </c:pt>
                <c:pt idx="156">
                  <c:v>4.4467277050784983E-3</c:v>
                </c:pt>
                <c:pt idx="157">
                  <c:v>9.092886908614331E-3</c:v>
                </c:pt>
                <c:pt idx="158">
                  <c:v>7.5378127403218174E-3</c:v>
                </c:pt>
                <c:pt idx="159">
                  <c:v>7.5378127403218174E-3</c:v>
                </c:pt>
                <c:pt idx="160">
                  <c:v>7.6236350197112631E-3</c:v>
                </c:pt>
                <c:pt idx="161">
                  <c:v>1.4509280677636852E-2</c:v>
                </c:pt>
                <c:pt idx="162">
                  <c:v>1.8105848740001613E-2</c:v>
                </c:pt>
                <c:pt idx="163">
                  <c:v>1.6269703716607221E-2</c:v>
                </c:pt>
                <c:pt idx="164">
                  <c:v>1.6269703716607221E-2</c:v>
                </c:pt>
                <c:pt idx="165">
                  <c:v>1.6766256799545042E-2</c:v>
                </c:pt>
                <c:pt idx="166">
                  <c:v>2.3631795105724267E-2</c:v>
                </c:pt>
                <c:pt idx="167">
                  <c:v>2.6155323945741361E-2</c:v>
                </c:pt>
                <c:pt idx="168">
                  <c:v>2.4098613830410107E-2</c:v>
                </c:pt>
                <c:pt idx="169">
                  <c:v>2.4098613830410107E-2</c:v>
                </c:pt>
                <c:pt idx="170">
                  <c:v>2.4970009095121842E-2</c:v>
                </c:pt>
                <c:pt idx="171">
                  <c:v>3.1652471055285583E-2</c:v>
                </c:pt>
                <c:pt idx="172">
                  <c:v>3.3104644292364226E-2</c:v>
                </c:pt>
                <c:pt idx="173">
                  <c:v>3.088923300922386E-2</c:v>
                </c:pt>
                <c:pt idx="174">
                  <c:v>3.088923300922386E-2</c:v>
                </c:pt>
                <c:pt idx="175">
                  <c:v>3.2093325524793291E-2</c:v>
                </c:pt>
                <c:pt idx="176">
                  <c:v>3.8443158190694049E-2</c:v>
                </c:pt>
                <c:pt idx="177">
                  <c:v>3.8849411436499226E-2</c:v>
                </c:pt>
                <c:pt idx="178">
                  <c:v>3.6537191986140194E-2</c:v>
                </c:pt>
                <c:pt idx="179">
                  <c:v>3.6537191986140194E-2</c:v>
                </c:pt>
                <c:pt idx="180">
                  <c:v>3.8026770961447395E-2</c:v>
                </c:pt>
                <c:pt idx="181">
                  <c:v>4.3910192152113808E-2</c:v>
                </c:pt>
                <c:pt idx="182">
                  <c:v>4.3317949515635494E-2</c:v>
                </c:pt>
                <c:pt idx="183">
                  <c:v>4.0969570594572152E-2</c:v>
                </c:pt>
                <c:pt idx="184">
                  <c:v>4.0969570594572152E-2</c:v>
                </c:pt>
                <c:pt idx="185">
                  <c:v>4.2693594895124455E-2</c:v>
                </c:pt>
                <c:pt idx="186">
                  <c:v>4.7994550557190083E-2</c:v>
                </c:pt>
                <c:pt idx="187">
                  <c:v>4.6471118655586015E-2</c:v>
                </c:pt>
                <c:pt idx="188">
                  <c:v>4.414478858738026E-2</c:v>
                </c:pt>
                <c:pt idx="189">
                  <c:v>4.414478858738026E-2</c:v>
                </c:pt>
                <c:pt idx="190">
                  <c:v>4.6049643676789098E-2</c:v>
                </c:pt>
                <c:pt idx="191">
                  <c:v>5.0671342579054826E-2</c:v>
                </c:pt>
                <c:pt idx="192">
                  <c:v>4.8301509698014951E-2</c:v>
                </c:pt>
                <c:pt idx="193">
                  <c:v>4.6051897571431744E-2</c:v>
                </c:pt>
                <c:pt idx="194">
                  <c:v>4.6051897571431744E-2</c:v>
                </c:pt>
                <c:pt idx="195">
                  <c:v>4.808265006177978E-2</c:v>
                </c:pt>
                <c:pt idx="196">
                  <c:v>5.1948659041908145E-2</c:v>
                </c:pt>
                <c:pt idx="197">
                  <c:v>4.8832052291793757E-2</c:v>
                </c:pt>
                <c:pt idx="198">
                  <c:v>4.6709304068654679E-2</c:v>
                </c:pt>
                <c:pt idx="199">
                  <c:v>4.6709304068654679E-2</c:v>
                </c:pt>
                <c:pt idx="200">
                  <c:v>4.8810930418926521E-2</c:v>
                </c:pt>
                <c:pt idx="201">
                  <c:v>5.1865822183890249E-2</c:v>
                </c:pt>
                <c:pt idx="202">
                  <c:v>4.8114079479036877E-2</c:v>
                </c:pt>
                <c:pt idx="203">
                  <c:v>4.6162964341251222E-2</c:v>
                </c:pt>
                <c:pt idx="204">
                  <c:v>4.6162964341251222E-2</c:v>
                </c:pt>
                <c:pt idx="205">
                  <c:v>4.8281531101237105E-2</c:v>
                </c:pt>
                <c:pt idx="206">
                  <c:v>5.0491085429936508E-2</c:v>
                </c:pt>
                <c:pt idx="207">
                  <c:v>4.6224901827845125E-2</c:v>
                </c:pt>
                <c:pt idx="208">
                  <c:v>4.4484101243744134E-2</c:v>
                </c:pt>
                <c:pt idx="209">
                  <c:v>4.4484101243744134E-2</c:v>
                </c:pt>
                <c:pt idx="210">
                  <c:v>4.6567875570241099E-2</c:v>
                </c:pt>
                <c:pt idx="211">
                  <c:v>4.7918843482984488E-2</c:v>
                </c:pt>
                <c:pt idx="212">
                  <c:v>4.3264952831311945E-2</c:v>
                </c:pt>
                <c:pt idx="213">
                  <c:v>4.1766501803728817E-2</c:v>
                </c:pt>
                <c:pt idx="214">
                  <c:v>4.1766501803728817E-2</c:v>
                </c:pt>
                <c:pt idx="215">
                  <c:v>4.3766972736486227E-2</c:v>
                </c:pt>
                <c:pt idx="216">
                  <c:v>4.4266421595820934E-2</c:v>
                </c:pt>
                <c:pt idx="217">
                  <c:v>3.935457454673251E-2</c:v>
                </c:pt>
                <c:pt idx="218">
                  <c:v>3.8123461329697704E-2</c:v>
                </c:pt>
                <c:pt idx="219">
                  <c:v>3.8123461329697704E-2</c:v>
                </c:pt>
                <c:pt idx="220">
                  <c:v>3.9996254459173923E-2</c:v>
                </c:pt>
                <c:pt idx="221">
                  <c:v>3.9670519874699689E-2</c:v>
                </c:pt>
                <c:pt idx="222">
                  <c:v>3.4630518162303163E-2</c:v>
                </c:pt>
                <c:pt idx="223">
                  <c:v>3.3684445471498389E-2</c:v>
                </c:pt>
                <c:pt idx="224">
                  <c:v>3.3684445471498389E-2</c:v>
                </c:pt>
                <c:pt idx="225">
                  <c:v>3.5390116105420456E-2</c:v>
                </c:pt>
                <c:pt idx="226">
                  <c:v>3.4283393770554831E-2</c:v>
                </c:pt>
                <c:pt idx="227">
                  <c:v>2.9242238256747002E-2</c:v>
                </c:pt>
                <c:pt idx="228">
                  <c:v>2.8591545722835413E-2</c:v>
                </c:pt>
                <c:pt idx="229">
                  <c:v>2.8591545722835413E-2</c:v>
                </c:pt>
                <c:pt idx="230">
                  <c:v>3.0096238404614496E-2</c:v>
                </c:pt>
                <c:pt idx="231">
                  <c:v>2.8268855451498841E-2</c:v>
                </c:pt>
                <c:pt idx="232">
                  <c:v>2.3348061901576331E-2</c:v>
                </c:pt>
                <c:pt idx="233">
                  <c:v>2.2995806295731412E-2</c:v>
                </c:pt>
                <c:pt idx="234">
                  <c:v>2.2995806295731412E-2</c:v>
                </c:pt>
                <c:pt idx="235">
                  <c:v>2.4271771481480048E-2</c:v>
                </c:pt>
                <c:pt idx="236">
                  <c:v>2.1798182476562955E-2</c:v>
                </c:pt>
                <c:pt idx="237">
                  <c:v>1.7111314423689052E-2</c:v>
                </c:pt>
                <c:pt idx="238">
                  <c:v>1.7053501089037408E-2</c:v>
                </c:pt>
                <c:pt idx="239">
                  <c:v>1.7053501089037408E-2</c:v>
                </c:pt>
                <c:pt idx="240">
                  <c:v>1.8079462884715895E-2</c:v>
                </c:pt>
                <c:pt idx="241">
                  <c:v>1.504602009893655E-2</c:v>
                </c:pt>
                <c:pt idx="242">
                  <c:v>1.0696482611610708E-2</c:v>
                </c:pt>
                <c:pt idx="243">
                  <c:v>1.092243862689357E-2</c:v>
                </c:pt>
                <c:pt idx="244">
                  <c:v>1.092243862689357E-2</c:v>
                </c:pt>
                <c:pt idx="245">
                  <c:v>1.1683810654716294E-2</c:v>
                </c:pt>
                <c:pt idx="246">
                  <c:v>8.1863616491255845E-3</c:v>
                </c:pt>
                <c:pt idx="247">
                  <c:v>4.2654934614737572E-3</c:v>
                </c:pt>
                <c:pt idx="248">
                  <c:v>4.7583704028852751E-3</c:v>
                </c:pt>
                <c:pt idx="249">
                  <c:v>4.7583704028852751E-3</c:v>
                </c:pt>
                <c:pt idx="250">
                  <c:v>5.2473200379907735E-3</c:v>
                </c:pt>
                <c:pt idx="251">
                  <c:v>1.3886878533179454E-3</c:v>
                </c:pt>
                <c:pt idx="252">
                  <c:v>-2.0258176975951037E-3</c:v>
                </c:pt>
                <c:pt idx="253">
                  <c:v>-1.2884258911212401E-3</c:v>
                </c:pt>
                <c:pt idx="254">
                  <c:v>-1.2884258911212401E-3</c:v>
                </c:pt>
                <c:pt idx="255">
                  <c:v>-1.0730615640545968E-3</c:v>
                </c:pt>
                <c:pt idx="256">
                  <c:v>-5.1856592660783039E-3</c:v>
                </c:pt>
                <c:pt idx="257">
                  <c:v>-8.0309815690190363E-3</c:v>
                </c:pt>
                <c:pt idx="258">
                  <c:v>-7.0763221375189774E-3</c:v>
                </c:pt>
                <c:pt idx="259">
                  <c:v>-7.0763221375189774E-3</c:v>
                </c:pt>
                <c:pt idx="260">
                  <c:v>-7.1292623175254668E-3</c:v>
                </c:pt>
                <c:pt idx="261">
                  <c:v>-1.138679894570844E-2</c:v>
                </c:pt>
                <c:pt idx="262">
                  <c:v>-1.3615850634550522E-2</c:v>
                </c:pt>
                <c:pt idx="263">
                  <c:v>-1.2475215089714668E-2</c:v>
                </c:pt>
                <c:pt idx="264">
                  <c:v>-1.2475215089714668E-2</c:v>
                </c:pt>
                <c:pt idx="265">
                  <c:v>-1.2785094081322381E-2</c:v>
                </c:pt>
                <c:pt idx="266">
                  <c:v>-1.7079269726011197E-2</c:v>
                </c:pt>
                <c:pt idx="267">
                  <c:v>-1.8661183327216248E-2</c:v>
                </c:pt>
                <c:pt idx="268">
                  <c:v>-1.7369049462937512E-2</c:v>
                </c:pt>
                <c:pt idx="269">
                  <c:v>-1.7369049462937512E-2</c:v>
                </c:pt>
                <c:pt idx="270">
                  <c:v>-1.7918896659489866E-2</c:v>
                </c:pt>
                <c:pt idx="271">
                  <c:v>-2.2144571134299323E-2</c:v>
                </c:pt>
                <c:pt idx="272">
                  <c:v>-2.306481278270453E-2</c:v>
                </c:pt>
                <c:pt idx="273">
                  <c:v>-2.1657945763484007E-2</c:v>
                </c:pt>
                <c:pt idx="274">
                  <c:v>-2.1657945763484007E-2</c:v>
                </c:pt>
                <c:pt idx="275">
                  <c:v>-2.2425772874861589E-2</c:v>
                </c:pt>
                <c:pt idx="276">
                  <c:v>-2.6483247177621273E-2</c:v>
                </c:pt>
                <c:pt idx="277">
                  <c:v>-2.6743366162345517E-2</c:v>
                </c:pt>
                <c:pt idx="278">
                  <c:v>-2.5259899203154478E-2</c:v>
                </c:pt>
                <c:pt idx="279">
                  <c:v>-2.5259899203154478E-2</c:v>
                </c:pt>
                <c:pt idx="280">
                  <c:v>-2.6219378898992861E-2</c:v>
                </c:pt>
                <c:pt idx="281">
                  <c:v>-3.0016480518500956E-2</c:v>
                </c:pt>
                <c:pt idx="282">
                  <c:v>-2.9633510898446139E-2</c:v>
                </c:pt>
                <c:pt idx="283">
                  <c:v>-2.8112025963672699E-2</c:v>
                </c:pt>
                <c:pt idx="284">
                  <c:v>-2.8112025963672699E-2</c:v>
                </c:pt>
                <c:pt idx="285">
                  <c:v>-2.9233244564731212E-2</c:v>
                </c:pt>
                <c:pt idx="286">
                  <c:v>-3.2687177348028409E-2</c:v>
                </c:pt>
                <c:pt idx="287">
                  <c:v>-3.1692714856703573E-2</c:v>
                </c:pt>
                <c:pt idx="288">
                  <c:v>-3.0171343289606946E-2</c:v>
                </c:pt>
                <c:pt idx="289">
                  <c:v>-3.0171343289606946E-2</c:v>
                </c:pt>
                <c:pt idx="290">
                  <c:v>-3.1421609001211992E-2</c:v>
                </c:pt>
                <c:pt idx="291">
                  <c:v>-3.4460534306811411E-2</c:v>
                </c:pt>
                <c:pt idx="292">
                  <c:v>-3.2899518108720327E-2</c:v>
                </c:pt>
                <c:pt idx="293">
                  <c:v>-3.141508017485254E-2</c:v>
                </c:pt>
                <c:pt idx="294">
                  <c:v>-3.141508017485254E-2</c:v>
                </c:pt>
                <c:pt idx="295">
                  <c:v>-3.2759767634677625E-2</c:v>
                </c:pt>
                <c:pt idx="296">
                  <c:v>-3.5324090089510284E-2</c:v>
                </c:pt>
                <c:pt idx="297">
                  <c:v>-3.3253324530709477E-2</c:v>
                </c:pt>
                <c:pt idx="298">
                  <c:v>-3.1840525546078392E-2</c:v>
                </c:pt>
                <c:pt idx="299">
                  <c:v>-3.1840525546078392E-2</c:v>
                </c:pt>
                <c:pt idx="300">
                  <c:v>-3.3243937162040653E-2</c:v>
                </c:pt>
                <c:pt idx="301">
                  <c:v>-3.5287275362446774E-2</c:v>
                </c:pt>
                <c:pt idx="302">
                  <c:v>-3.2773731570086201E-2</c:v>
                </c:pt>
                <c:pt idx="303">
                  <c:v>-3.1464430622361567E-2</c:v>
                </c:pt>
                <c:pt idx="304">
                  <c:v>-3.1464430622361567E-2</c:v>
                </c:pt>
                <c:pt idx="305">
                  <c:v>-3.2890655303920623E-2</c:v>
                </c:pt>
                <c:pt idx="306">
                  <c:v>-3.4380485095584161E-2</c:v>
                </c:pt>
                <c:pt idx="307">
                  <c:v>-3.1499426039626285E-2</c:v>
                </c:pt>
                <c:pt idx="308">
                  <c:v>-3.032199134034758E-2</c:v>
                </c:pt>
                <c:pt idx="309">
                  <c:v>-3.032199134034758E-2</c:v>
                </c:pt>
                <c:pt idx="310">
                  <c:v>-3.173574176764931E-2</c:v>
                </c:pt>
                <c:pt idx="311">
                  <c:v>-3.2653707144256944E-2</c:v>
                </c:pt>
                <c:pt idx="312">
                  <c:v>-2.948668251548292E-2</c:v>
                </c:pt>
                <c:pt idx="313">
                  <c:v>-2.8465445190951708E-2</c:v>
                </c:pt>
                <c:pt idx="314">
                  <c:v>-2.8465445190951708E-2</c:v>
                </c:pt>
                <c:pt idx="315">
                  <c:v>-2.9832855701950482E-2</c:v>
                </c:pt>
                <c:pt idx="316">
                  <c:v>-3.0174749716068948E-2</c:v>
                </c:pt>
                <c:pt idx="317">
                  <c:v>-2.6807508657259838E-2</c:v>
                </c:pt>
                <c:pt idx="318">
                  <c:v>-2.5962324348386388E-2</c:v>
                </c:pt>
                <c:pt idx="319">
                  <c:v>-2.5962324348386388E-2</c:v>
                </c:pt>
                <c:pt idx="320">
                  <c:v>-2.7251692826935372E-2</c:v>
                </c:pt>
                <c:pt idx="321">
                  <c:v>-2.7027118051304023E-2</c:v>
                </c:pt>
                <c:pt idx="322">
                  <c:v>-2.3547488386089038E-2</c:v>
                </c:pt>
                <c:pt idx="323">
                  <c:v>-2.2893413439359796E-2</c:v>
                </c:pt>
                <c:pt idx="324">
                  <c:v>-2.2893413439359796E-2</c:v>
                </c:pt>
                <c:pt idx="325">
                  <c:v>-2.4075872222385462E-2</c:v>
                </c:pt>
                <c:pt idx="326">
                  <c:v>-2.3307597084726205E-2</c:v>
                </c:pt>
                <c:pt idx="327">
                  <c:v>-1.9803379227567062E-2</c:v>
                </c:pt>
                <c:pt idx="328">
                  <c:v>-1.9350465579342953E-2</c:v>
                </c:pt>
                <c:pt idx="329">
                  <c:v>-1.9350465579342953E-2</c:v>
                </c:pt>
                <c:pt idx="330">
                  <c:v>-2.0400568327049746E-2</c:v>
                </c:pt>
                <c:pt idx="331">
                  <c:v>-1.9123601926077309E-2</c:v>
                </c:pt>
                <c:pt idx="332">
                  <c:v>-1.5680524156912276E-2</c:v>
                </c:pt>
                <c:pt idx="333">
                  <c:v>-1.5433734301320353E-2</c:v>
                </c:pt>
                <c:pt idx="334">
                  <c:v>-1.5433734301320353E-2</c:v>
                </c:pt>
                <c:pt idx="335">
                  <c:v>-1.6329947943691379E-2</c:v>
                </c:pt>
                <c:pt idx="336">
                  <c:v>-1.459036161085649E-2</c:v>
                </c:pt>
                <c:pt idx="337">
                  <c:v>-1.1290140910903884E-2</c:v>
                </c:pt>
                <c:pt idx="338">
                  <c:v>-1.1249381657270439E-2</c:v>
                </c:pt>
                <c:pt idx="339">
                  <c:v>-1.1249381657270439E-2</c:v>
                </c:pt>
                <c:pt idx="340">
                  <c:v>-1.1974474891166336E-2</c:v>
                </c:pt>
                <c:pt idx="341">
                  <c:v>-9.8280036801762644E-3</c:v>
                </c:pt>
                <c:pt idx="342">
                  <c:v>-6.7465529238492517E-3</c:v>
                </c:pt>
                <c:pt idx="343">
                  <c:v>-6.9068240509685139E-3</c:v>
                </c:pt>
                <c:pt idx="344">
                  <c:v>-6.9068240509685139E-3</c:v>
                </c:pt>
                <c:pt idx="345">
                  <c:v>-7.4481463597672899E-3</c:v>
                </c:pt>
                <c:pt idx="346">
                  <c:v>-4.9586077304273803E-3</c:v>
                </c:pt>
                <c:pt idx="347">
                  <c:v>-2.1644258035950358E-3</c:v>
                </c:pt>
                <c:pt idx="348">
                  <c:v>-2.5160772603614236E-3</c:v>
                </c:pt>
                <c:pt idx="349">
                  <c:v>-2.5160772603614236E-3</c:v>
                </c:pt>
                <c:pt idx="350">
                  <c:v>-2.8657250051234442E-3</c:v>
                </c:pt>
                <c:pt idx="351">
                  <c:v>-1.0329514564186727E-4</c:v>
                </c:pt>
                <c:pt idx="352">
                  <c:v>2.3439283795167764E-3</c:v>
                </c:pt>
                <c:pt idx="353">
                  <c:v>1.8148393432332725E-3</c:v>
                </c:pt>
                <c:pt idx="354">
                  <c:v>1.8148393432332725E-3</c:v>
                </c:pt>
                <c:pt idx="355">
                  <c:v>1.6599706136573517E-3</c:v>
                </c:pt>
                <c:pt idx="356">
                  <c:v>4.6205801638536746E-3</c:v>
                </c:pt>
                <c:pt idx="357">
                  <c:v>6.6711197006096568E-3</c:v>
                </c:pt>
                <c:pt idx="358">
                  <c:v>5.9823821163241123E-3</c:v>
                </c:pt>
                <c:pt idx="359">
                  <c:v>5.9823821163241123E-3</c:v>
                </c:pt>
                <c:pt idx="360">
                  <c:v>6.0206574265226544E-3</c:v>
                </c:pt>
                <c:pt idx="361">
                  <c:v>9.1020789640473242E-3</c:v>
                </c:pt>
                <c:pt idx="362">
                  <c:v>1.0717066826762062E-2</c:v>
                </c:pt>
                <c:pt idx="363">
                  <c:v>9.8897926953426026E-3</c:v>
                </c:pt>
                <c:pt idx="364">
                  <c:v>9.8897926953426026E-3</c:v>
                </c:pt>
                <c:pt idx="365">
                  <c:v>1.0115005295800672E-2</c:v>
                </c:pt>
                <c:pt idx="366">
                  <c:v>1.3239105832944895E-2</c:v>
                </c:pt>
                <c:pt idx="367">
                  <c:v>1.4391151607735506E-2</c:v>
                </c:pt>
                <c:pt idx="368">
                  <c:v>1.3449189522394118E-2</c:v>
                </c:pt>
                <c:pt idx="369">
                  <c:v>1.3449189522394118E-2</c:v>
                </c:pt>
                <c:pt idx="370">
                  <c:v>1.3850829927422953E-2</c:v>
                </c:pt>
                <c:pt idx="371">
                  <c:v>1.6940570403627637E-2</c:v>
                </c:pt>
                <c:pt idx="372">
                  <c:v>1.7614098473371899E-2</c:v>
                </c:pt>
                <c:pt idx="373">
                  <c:v>1.6583399106349404E-2</c:v>
                </c:pt>
                <c:pt idx="374">
                  <c:v>1.6583399106349404E-2</c:v>
                </c:pt>
                <c:pt idx="375">
                  <c:v>1.7147016879594738E-2</c:v>
                </c:pt>
                <c:pt idx="376">
                  <c:v>2.0128238051648897E-2</c:v>
                </c:pt>
                <c:pt idx="377">
                  <c:v>2.0319542490149754E-2</c:v>
                </c:pt>
                <c:pt idx="378">
                  <c:v>1.922749161517804E-2</c:v>
                </c:pt>
                <c:pt idx="379">
                  <c:v>1.922749161517804E-2</c:v>
                </c:pt>
                <c:pt idx="380">
                  <c:v>1.9935139369851418E-2</c:v>
                </c:pt>
                <c:pt idx="381">
                  <c:v>2.2738235329802427E-2</c:v>
                </c:pt>
                <c:pt idx="382">
                  <c:v>2.2455257777647168E-2</c:v>
                </c:pt>
                <c:pt idx="383">
                  <c:v>2.1329992877970924E-2</c:v>
                </c:pt>
                <c:pt idx="384">
                  <c:v>2.1329992877970924E-2</c:v>
                </c:pt>
                <c:pt idx="385">
                  <c:v>2.2160740338858807E-2</c:v>
                </c:pt>
                <c:pt idx="386">
                  <c:v>2.4722184030864607E-2</c:v>
                </c:pt>
                <c:pt idx="387">
                  <c:v>2.3984026305345262E-2</c:v>
                </c:pt>
                <c:pt idx="388">
                  <c:v>2.2853752827476596E-2</c:v>
                </c:pt>
                <c:pt idx="389">
                  <c:v>2.2853752827476596E-2</c:v>
                </c:pt>
                <c:pt idx="390">
                  <c:v>2.3784257487520288E-2</c:v>
                </c:pt>
                <c:pt idx="391">
                  <c:v>2.604794674577297E-2</c:v>
                </c:pt>
                <c:pt idx="392">
                  <c:v>2.4884135687145238E-2</c:v>
                </c:pt>
                <c:pt idx="393">
                  <c:v>2.3776458650198066E-2</c:v>
                </c:pt>
                <c:pt idx="394">
                  <c:v>2.3776458650198066E-2</c:v>
                </c:pt>
                <c:pt idx="395">
                  <c:v>2.4781578569663266E-2</c:v>
                </c:pt>
                <c:pt idx="396">
                  <c:v>2.669997597290075E-2</c:v>
                </c:pt>
                <c:pt idx="397">
                  <c:v>2.5149503268070115E-2</c:v>
                </c:pt>
                <c:pt idx="398">
                  <c:v>2.4090789241993125E-2</c:v>
                </c:pt>
                <c:pt idx="399">
                  <c:v>2.4090789241993125E-2</c:v>
                </c:pt>
                <c:pt idx="400">
                  <c:v>2.5144222898862489E-2</c:v>
                </c:pt>
                <c:pt idx="401">
                  <c:v>2.6679268014590588E-2</c:v>
                </c:pt>
                <c:pt idx="402">
                  <c:v>2.4789432359292266E-2</c:v>
                </c:pt>
                <c:pt idx="403">
                  <c:v>2.3804215804568787E-2</c:v>
                </c:pt>
                <c:pt idx="404">
                  <c:v>2.3804215804568787E-2</c:v>
                </c:pt>
                <c:pt idx="405">
                  <c:v>2.4879153618748713E-2</c:v>
                </c:pt>
                <c:pt idx="406">
                  <c:v>2.600293186454895E-2</c:v>
                </c:pt>
                <c:pt idx="407">
                  <c:v>2.3828014734071101E-2</c:v>
                </c:pt>
                <c:pt idx="408">
                  <c:v>2.293846137935935E-2</c:v>
                </c:pt>
                <c:pt idx="409">
                  <c:v>2.293846137935935E-2</c:v>
                </c:pt>
                <c:pt idx="410">
                  <c:v>2.4008233600505063E-2</c:v>
                </c:pt>
                <c:pt idx="411">
                  <c:v>2.47033918468684E-2</c:v>
                </c:pt>
                <c:pt idx="412">
                  <c:v>2.2303201268644945E-2</c:v>
                </c:pt>
                <c:pt idx="413">
                  <c:v>2.1528639626367481E-2</c:v>
                </c:pt>
                <c:pt idx="414">
                  <c:v>2.1528639626367481E-2</c:v>
                </c:pt>
                <c:pt idx="415">
                  <c:v>2.2567345687606967E-2</c:v>
                </c:pt>
                <c:pt idx="416">
                  <c:v>2.2827250729514886E-2</c:v>
                </c:pt>
                <c:pt idx="417">
                  <c:v>2.0265569732621894E-2</c:v>
                </c:pt>
                <c:pt idx="418">
                  <c:v>1.9622100055937747E-2</c:v>
                </c:pt>
                <c:pt idx="419">
                  <c:v>1.9622100055937747E-2</c:v>
                </c:pt>
                <c:pt idx="420">
                  <c:v>2.0605205237919325E-2</c:v>
                </c:pt>
                <c:pt idx="421">
                  <c:v>2.0433847233764721E-2</c:v>
                </c:pt>
                <c:pt idx="422">
                  <c:v>1.777682505441611E-2</c:v>
                </c:pt>
                <c:pt idx="423">
                  <c:v>1.727701306682106E-2</c:v>
                </c:pt>
                <c:pt idx="424">
                  <c:v>1.727701306682106E-2</c:v>
                </c:pt>
                <c:pt idx="425">
                  <c:v>1.8181899365568452E-2</c:v>
                </c:pt>
                <c:pt idx="426">
                  <c:v>1.7593548147735682E-2</c:v>
                </c:pt>
                <c:pt idx="427">
                  <c:v>1.4908072780567022E-2</c:v>
                </c:pt>
                <c:pt idx="428">
                  <c:v>1.456073340931828E-2</c:v>
                </c:pt>
                <c:pt idx="429">
                  <c:v>1.456073340931828E-2</c:v>
                </c:pt>
                <c:pt idx="430">
                  <c:v>1.5367192828090738E-2</c:v>
                </c:pt>
                <c:pt idx="431">
                  <c:v>1.4385820501417774E-2</c:v>
                </c:pt>
                <c:pt idx="432">
                  <c:v>1.1737910808272354E-2</c:v>
                </c:pt>
                <c:pt idx="433">
                  <c:v>1.1547984974706096E-2</c:v>
                </c:pt>
                <c:pt idx="434">
                  <c:v>1.1547984974706096E-2</c:v>
                </c:pt>
                <c:pt idx="435">
                  <c:v>1.2238645029377377E-2</c:v>
                </c:pt>
                <c:pt idx="436">
                  <c:v>1.0897133372248373E-2</c:v>
                </c:pt>
                <c:pt idx="437">
                  <c:v>8.3503877179470845E-3</c:v>
                </c:pt>
                <c:pt idx="438">
                  <c:v>8.3189130323394981E-3</c:v>
                </c:pt>
                <c:pt idx="439">
                  <c:v>8.3189130323394981E-3</c:v>
                </c:pt>
                <c:pt idx="440">
                  <c:v>8.8795860317918453E-3</c:v>
                </c:pt>
                <c:pt idx="441">
                  <c:v>7.2187417916141135E-3</c:v>
                </c:pt>
                <c:pt idx="442">
                  <c:v>4.8328781134646401E-3</c:v>
                </c:pt>
                <c:pt idx="443">
                  <c:v>4.9570521398813183E-3</c:v>
                </c:pt>
                <c:pt idx="444">
                  <c:v>4.9570521398813183E-3</c:v>
                </c:pt>
                <c:pt idx="445">
                  <c:v>5.3770017337028434E-3</c:v>
                </c:pt>
                <c:pt idx="446">
                  <c:v>3.4444068693161257E-3</c:v>
                </c:pt>
                <c:pt idx="447">
                  <c:v>1.273926265437425E-3</c:v>
                </c:pt>
                <c:pt idx="448">
                  <c:v>1.5472589122335952E-3</c:v>
                </c:pt>
                <c:pt idx="449">
                  <c:v>1.5472589122335952E-3</c:v>
                </c:pt>
                <c:pt idx="450">
                  <c:v>1.8193794408621056E-3</c:v>
                </c:pt>
                <c:pt idx="451">
                  <c:v>-3.3189337006151657E-4</c:v>
                </c:pt>
                <c:pt idx="452">
                  <c:v>-2.2388909514764938E-3</c:v>
                </c:pt>
                <c:pt idx="453">
                  <c:v>-1.8263413504977638E-3</c:v>
                </c:pt>
                <c:pt idx="454">
                  <c:v>-1.8263413504977638E-3</c:v>
                </c:pt>
                <c:pt idx="455">
                  <c:v>-1.7054350616181714E-3</c:v>
                </c:pt>
                <c:pt idx="456">
                  <c:v>-4.0182088240254378E-3</c:v>
                </c:pt>
                <c:pt idx="457">
                  <c:v>-5.6210323047214848E-3</c:v>
                </c:pt>
                <c:pt idx="458">
                  <c:v>-5.082346481718159E-3</c:v>
                </c:pt>
                <c:pt idx="459">
                  <c:v>-5.082346481718159E-3</c:v>
                </c:pt>
                <c:pt idx="460">
                  <c:v>-5.1123191215916488E-3</c:v>
                </c:pt>
                <c:pt idx="461">
                  <c:v>-7.5267663003447359E-3</c:v>
                </c:pt>
                <c:pt idx="462">
                  <c:v>-8.7929446894711091E-3</c:v>
                </c:pt>
                <c:pt idx="463">
                  <c:v>-8.1439623967196877E-3</c:v>
                </c:pt>
                <c:pt idx="464">
                  <c:v>-8.1439623967196877E-3</c:v>
                </c:pt>
                <c:pt idx="465">
                  <c:v>-8.3208461129592667E-3</c:v>
                </c:pt>
                <c:pt idx="466">
                  <c:v>-1.0775974372342364E-2</c:v>
                </c:pt>
                <c:pt idx="467">
                  <c:v>-1.1681856520041075E-2</c:v>
                </c:pt>
                <c:pt idx="468">
                  <c:v>-1.0940739229015456E-2</c:v>
                </c:pt>
                <c:pt idx="469">
                  <c:v>-1.0940739229015456E-2</c:v>
                </c:pt>
                <c:pt idx="470">
                  <c:v>-1.125710566270061E-2</c:v>
                </c:pt>
                <c:pt idx="471">
                  <c:v>-1.3692240105811106E-2</c:v>
                </c:pt>
                <c:pt idx="472">
                  <c:v>-1.4223373234806018E-2</c:v>
                </c:pt>
                <c:pt idx="473">
                  <c:v>-1.3410120991627939E-2</c:v>
                </c:pt>
                <c:pt idx="474">
                  <c:v>-1.3410120991627939E-2</c:v>
                </c:pt>
                <c:pt idx="475">
                  <c:v>-1.3855331669653519E-2</c:v>
                </c:pt>
                <c:pt idx="476">
                  <c:v>-1.6211558885302159E-2</c:v>
                </c:pt>
                <c:pt idx="477">
                  <c:v>-1.6362841474744646E-2</c:v>
                </c:pt>
                <c:pt idx="478">
                  <c:v>-1.5498776168660511E-2</c:v>
                </c:pt>
                <c:pt idx="479">
                  <c:v>-1.5498776168660511E-2</c:v>
                </c:pt>
                <c:pt idx="480">
                  <c:v>-1.6059303808017209E-2</c:v>
                </c:pt>
                <c:pt idx="481">
                  <c:v>-1.8280844589555201E-2</c:v>
                </c:pt>
                <c:pt idx="482">
                  <c:v>-1.8056454522318185E-2</c:v>
                </c:pt>
                <c:pt idx="483">
                  <c:v>-1.716368237050904E-2</c:v>
                </c:pt>
                <c:pt idx="484">
                  <c:v>-1.716368237050904E-2</c:v>
                </c:pt>
                <c:pt idx="485">
                  <c:v>-1.782349413985615E-2</c:v>
                </c:pt>
                <c:pt idx="486">
                  <c:v>-1.9858974034735567E-2</c:v>
                </c:pt>
                <c:pt idx="487">
                  <c:v>-1.9272078138216193E-2</c:v>
                </c:pt>
                <c:pt idx="488">
                  <c:v>-1.8372944430872708E-2</c:v>
                </c:pt>
                <c:pt idx="489">
                  <c:v>-1.8372944430872708E-2</c:v>
                </c:pt>
                <c:pt idx="490">
                  <c:v>-1.9113936940194698E-2</c:v>
                </c:pt>
                <c:pt idx="491">
                  <c:v>-2.0917526755713175E-2</c:v>
                </c:pt>
                <c:pt idx="492">
                  <c:v>-1.9989782848936908E-2</c:v>
                </c:pt>
                <c:pt idx="493">
                  <c:v>-1.9106331932829339E-2</c:v>
                </c:pt>
                <c:pt idx="494">
                  <c:v>-1.9106331932829339E-2</c:v>
                </c:pt>
                <c:pt idx="495">
                  <c:v>-1.9908806707240913E-2</c:v>
                </c:pt>
                <c:pt idx="496">
                  <c:v>-2.1441208657110682E-2</c:v>
                </c:pt>
                <c:pt idx="497">
                  <c:v>-2.0202075852848386E-2</c:v>
                </c:pt>
                <c:pt idx="498">
                  <c:v>-1.9355528966265814E-2</c:v>
                </c:pt>
                <c:pt idx="499">
                  <c:v>-1.9355528966265814E-2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4-40D7-8781-FDFDF02DB954}"/>
            </c:ext>
          </c:extLst>
        </c:ser>
        <c:ser>
          <c:idx val="1"/>
          <c:order val="1"/>
          <c:tx>
            <c:strRef>
              <c:f>Integration!F1</c:f>
              <c:strCache>
                <c:ptCount val="1"/>
                <c:pt idx="0">
                  <c:v>CumSum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Integration!$A$2:$A$501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Integration!$F$2:$F$501</c:f>
              <c:numCache>
                <c:formatCode>General</c:formatCode>
                <c:ptCount val="500"/>
                <c:pt idx="0">
                  <c:v>3.6880491213786823E-2</c:v>
                </c:pt>
                <c:pt idx="1">
                  <c:v>4.8357350432285395E-2</c:v>
                </c:pt>
                <c:pt idx="2">
                  <c:v>6.58247994157313E-2</c:v>
                </c:pt>
                <c:pt idx="3">
                  <c:v>9.8487156694365904E-2</c:v>
                </c:pt>
                <c:pt idx="4">
                  <c:v>9.9462005891549271E-2</c:v>
                </c:pt>
                <c:pt idx="5">
                  <c:v>0.13860093331658241</c:v>
                </c:pt>
                <c:pt idx="6">
                  <c:v>0.14485926189687887</c:v>
                </c:pt>
                <c:pt idx="7">
                  <c:v>0.16835767159749376</c:v>
                </c:pt>
                <c:pt idx="8">
                  <c:v>0.19535704026461984</c:v>
                </c:pt>
                <c:pt idx="9">
                  <c:v>0.19911417881709961</c:v>
                </c:pt>
                <c:pt idx="10">
                  <c:v>0.23828408652205885</c:v>
                </c:pt>
                <c:pt idx="11">
                  <c:v>0.24069976932479825</c:v>
                </c:pt>
                <c:pt idx="12">
                  <c:v>0.26951784939282719</c:v>
                </c:pt>
                <c:pt idx="13">
                  <c:v>0.29009495535622604</c:v>
                </c:pt>
                <c:pt idx="14">
                  <c:v>0.29803749066435642</c:v>
                </c:pt>
                <c:pt idx="15">
                  <c:v>0.33502815968097172</c:v>
                </c:pt>
                <c:pt idx="16">
                  <c:v>0.33536581243380104</c:v>
                </c:pt>
                <c:pt idx="17">
                  <c:v>0.36813149038422438</c:v>
                </c:pt>
                <c:pt idx="18">
                  <c:v>0.38228116649815341</c:v>
                </c:pt>
                <c:pt idx="19">
                  <c:v>0.39520931043899943</c:v>
                </c:pt>
                <c:pt idx="20">
                  <c:v>0.42810618411754769</c:v>
                </c:pt>
                <c:pt idx="21">
                  <c:v>0.42825163085870188</c:v>
                </c:pt>
                <c:pt idx="22">
                  <c:v>0.46311859637270519</c:v>
                </c:pt>
                <c:pt idx="23">
                  <c:v>0.47154713509980845</c:v>
                </c:pt>
                <c:pt idx="24">
                  <c:v>0.48955346142295053</c:v>
                </c:pt>
                <c:pt idx="25">
                  <c:v>0.51696654267340314</c:v>
                </c:pt>
                <c:pt idx="26">
                  <c:v>0.51864981914531472</c:v>
                </c:pt>
                <c:pt idx="27">
                  <c:v>0.55354910494767451</c:v>
                </c:pt>
                <c:pt idx="28">
                  <c:v>0.55752973716502119</c:v>
                </c:pt>
                <c:pt idx="29">
                  <c:v>0.58000277576143366</c:v>
                </c:pt>
                <c:pt idx="30">
                  <c:v>0.6012118076093107</c:v>
                </c:pt>
                <c:pt idx="31">
                  <c:v>0.60576442195552749</c:v>
                </c:pt>
                <c:pt idx="32">
                  <c:v>0.63868032537904484</c:v>
                </c:pt>
                <c:pt idx="33">
                  <c:v>0.63983255725814236</c:v>
                </c:pt>
                <c:pt idx="34">
                  <c:v>0.66556521990592576</c:v>
                </c:pt>
                <c:pt idx="35">
                  <c:v>0.6805613732244683</c:v>
                </c:pt>
                <c:pt idx="36">
                  <c:v>0.6887449132875495</c:v>
                </c:pt>
                <c:pt idx="37">
                  <c:v>0.71797155460553141</c:v>
                </c:pt>
                <c:pt idx="38">
                  <c:v>0.71800186118808829</c:v>
                </c:pt>
                <c:pt idx="39">
                  <c:v>0.74538410946625111</c:v>
                </c:pt>
                <c:pt idx="40">
                  <c:v>0.75480586474895361</c:v>
                </c:pt>
                <c:pt idx="41">
                  <c:v>0.76673625229286035</c:v>
                </c:pt>
                <c:pt idx="42">
                  <c:v>0.79107552544187554</c:v>
                </c:pt>
                <c:pt idx="43">
                  <c:v>0.79152203261318499</c:v>
                </c:pt>
                <c:pt idx="44">
                  <c:v>0.81878401206080942</c:v>
                </c:pt>
                <c:pt idx="45">
                  <c:v>0.82376233702522916</c:v>
                </c:pt>
                <c:pt idx="46">
                  <c:v>0.8389374420629151</c:v>
                </c:pt>
                <c:pt idx="47">
                  <c:v>0.85781011269431584</c:v>
                </c:pt>
                <c:pt idx="48">
                  <c:v>0.85983164369081666</c:v>
                </c:pt>
                <c:pt idx="49">
                  <c:v>0.88529643458551988</c:v>
                </c:pt>
                <c:pt idx="50">
                  <c:v>0.88723868985666798</c:v>
                </c:pt>
                <c:pt idx="51">
                  <c:v>0.90465961659334537</c:v>
                </c:pt>
                <c:pt idx="52">
                  <c:v>0.91811678521167084</c:v>
                </c:pt>
                <c:pt idx="53">
                  <c:v>0.92235758055173167</c:v>
                </c:pt>
                <c:pt idx="54">
                  <c:v>0.94466283646342442</c:v>
                </c:pt>
                <c:pt idx="55">
                  <c:v>0.94501366352659621</c:v>
                </c:pt>
                <c:pt idx="56">
                  <c:v>0.9633748695863793</c:v>
                </c:pt>
                <c:pt idx="57">
                  <c:v>0.97201411573886365</c:v>
                </c:pt>
                <c:pt idx="58">
                  <c:v>0.97856143720650401</c:v>
                </c:pt>
                <c:pt idx="59">
                  <c:v>0.99681626939194601</c:v>
                </c:pt>
                <c:pt idx="60">
                  <c:v>0.99683564573161354</c:v>
                </c:pt>
                <c:pt idx="61">
                  <c:v>1.0147487484748925</c:v>
                </c:pt>
                <c:pt idx="62">
                  <c:v>1.0195549545436864</c:v>
                </c:pt>
                <c:pt idx="63">
                  <c:v>1.0279902907853662</c:v>
                </c:pt>
                <c:pt idx="64">
                  <c:v>1.0418463399034037</c:v>
                </c:pt>
                <c:pt idx="65">
                  <c:v>1.0424399139017266</c:v>
                </c:pt>
                <c:pt idx="66">
                  <c:v>1.0586522245431604</c:v>
                </c:pt>
                <c:pt idx="67">
                  <c:v>1.0607946312943215</c:v>
                </c:pt>
                <c:pt idx="68">
                  <c:v>1.0703233267622081</c:v>
                </c:pt>
                <c:pt idx="69">
                  <c:v>1.0799546290178137</c:v>
                </c:pt>
                <c:pt idx="70">
                  <c:v>1.0815805210502509</c:v>
                </c:pt>
                <c:pt idx="71">
                  <c:v>1.0951524655289464</c:v>
                </c:pt>
                <c:pt idx="72">
                  <c:v>1.0957750472377357</c:v>
                </c:pt>
                <c:pt idx="73">
                  <c:v>1.1054066703797865</c:v>
                </c:pt>
                <c:pt idx="74">
                  <c:v>1.1114087791541674</c:v>
                </c:pt>
                <c:pt idx="75">
                  <c:v>1.1140704229627261</c:v>
                </c:pt>
                <c:pt idx="76">
                  <c:v>1.1244852308435322</c:v>
                </c:pt>
                <c:pt idx="77">
                  <c:v>1.124526254283345</c:v>
                </c:pt>
                <c:pt idx="78">
                  <c:v>1.1332709928561235</c:v>
                </c:pt>
                <c:pt idx="79">
                  <c:v>1.1365030288413351</c:v>
                </c:pt>
                <c:pt idx="80">
                  <c:v>1.1398220886705281</c:v>
                </c:pt>
                <c:pt idx="81">
                  <c:v>1.1470145545620845</c:v>
                </c:pt>
                <c:pt idx="82">
                  <c:v>1.1470837123548325</c:v>
                </c:pt>
                <c:pt idx="83">
                  <c:v>1.1541295540722831</c:v>
                </c:pt>
                <c:pt idx="84">
                  <c:v>1.1555311779501884</c:v>
                </c:pt>
                <c:pt idx="85">
                  <c:v>1.1588809393860904</c:v>
                </c:pt>
                <c:pt idx="86">
                  <c:v>1.1631870892813132</c:v>
                </c:pt>
                <c:pt idx="87">
                  <c:v>1.1635165005725958</c:v>
                </c:pt>
                <c:pt idx="88">
                  <c:v>1.1683577251203996</c:v>
                </c:pt>
                <c:pt idx="89">
                  <c:v>1.168775184959564</c:v>
                </c:pt>
                <c:pt idx="90">
                  <c:v>1.1714454521903785</c:v>
                </c:pt>
                <c:pt idx="91">
                  <c:v>1.1734887921643451</c:v>
                </c:pt>
                <c:pt idx="92">
                  <c:v>1.1739598491542598</c:v>
                </c:pt>
                <c:pt idx="93">
                  <c:v>1.1764580785643683</c:v>
                </c:pt>
                <c:pt idx="94">
                  <c:v>1.1765093864168517</c:v>
                </c:pt>
                <c:pt idx="95">
                  <c:v>1.177870317970128</c:v>
                </c:pt>
                <c:pt idx="96">
                  <c:v>1.1784105483510592</c:v>
                </c:pt>
                <c:pt idx="97">
                  <c:v>1.1786447699677631</c:v>
                </c:pt>
                <c:pt idx="98">
                  <c:v>1.1790173001820439</c:v>
                </c:pt>
                <c:pt idx="99">
                  <c:v>1.1790173001820439</c:v>
                </c:pt>
                <c:pt idx="100">
                  <c:v>1.1786521468036897</c:v>
                </c:pt>
                <c:pt idx="101">
                  <c:v>1.178427110348425</c:v>
                </c:pt>
                <c:pt idx="102">
                  <c:v>1.1779183496984218</c:v>
                </c:pt>
                <c:pt idx="103">
                  <c:v>1.1766621051877051</c:v>
                </c:pt>
                <c:pt idx="104">
                  <c:v>1.1766156837973629</c:v>
                </c:pt>
                <c:pt idx="105">
                  <c:v>1.1744002728110403</c:v>
                </c:pt>
                <c:pt idx="106">
                  <c:v>1.1739908494459741</c:v>
                </c:pt>
                <c:pt idx="107">
                  <c:v>1.172250226505188</c:v>
                </c:pt>
                <c:pt idx="108">
                  <c:v>1.1700209208354251</c:v>
                </c:pt>
                <c:pt idx="109">
                  <c:v>1.1696793627851996</c:v>
                </c:pt>
                <c:pt idx="110">
                  <c:v>1.1657976602198432</c:v>
                </c:pt>
                <c:pt idx="111">
                  <c:v>1.1655388370624069</c:v>
                </c:pt>
                <c:pt idx="112">
                  <c:v>1.1622234827182973</c:v>
                </c:pt>
                <c:pt idx="113">
                  <c:v>1.1596964697052483</c:v>
                </c:pt>
                <c:pt idx="114">
                  <c:v>1.1586604868389705</c:v>
                </c:pt>
                <c:pt idx="115">
                  <c:v>1.1535583255952995</c:v>
                </c:pt>
                <c:pt idx="116">
                  <c:v>1.1535092649389054</c:v>
                </c:pt>
                <c:pt idx="117">
                  <c:v>1.1485111106752814</c:v>
                </c:pt>
                <c:pt idx="118">
                  <c:v>1.1462519186907043</c:v>
                </c:pt>
                <c:pt idx="119">
                  <c:v>1.1440972280338968</c:v>
                </c:pt>
                <c:pt idx="120">
                  <c:v>1.1383878532632397</c:v>
                </c:pt>
                <c:pt idx="121">
                  <c:v>1.1383616251623758</c:v>
                </c:pt>
                <c:pt idx="122">
                  <c:v>1.1318417860825216</c:v>
                </c:pt>
                <c:pt idx="123">
                  <c:v>1.130210456006308</c:v>
                </c:pt>
                <c:pt idx="124">
                  <c:v>1.1266091907416798</c:v>
                </c:pt>
                <c:pt idx="125">
                  <c:v>1.1209525231820625</c:v>
                </c:pt>
                <c:pt idx="126">
                  <c:v>1.1205946612549633</c:v>
                </c:pt>
                <c:pt idx="127">
                  <c:v>1.1129604424856971</c:v>
                </c:pt>
                <c:pt idx="128">
                  <c:v>1.1120655716771461</c:v>
                </c:pt>
                <c:pt idx="129">
                  <c:v>1.1068794858472049</c:v>
                </c:pt>
                <c:pt idx="130">
                  <c:v>1.1018605546465621</c:v>
                </c:pt>
                <c:pt idx="131">
                  <c:v>1.1007568905626308</c:v>
                </c:pt>
                <c:pt idx="132">
                  <c:v>1.0925897867056678</c:v>
                </c:pt>
                <c:pt idx="133">
                  <c:v>1.0922974293632102</c:v>
                </c:pt>
                <c:pt idx="134">
                  <c:v>1.0856259983063774</c:v>
                </c:pt>
                <c:pt idx="135">
                  <c:v>1.0816564283102925</c:v>
                </c:pt>
                <c:pt idx="136">
                  <c:v>1.0794462751545699</c:v>
                </c:pt>
                <c:pt idx="137">
                  <c:v>1.0713983594293284</c:v>
                </c:pt>
                <c:pt idx="138">
                  <c:v>1.0713898561435751</c:v>
                </c:pt>
                <c:pt idx="139">
                  <c:v>1.0635663566355287</c:v>
                </c:pt>
                <c:pt idx="140">
                  <c:v>1.0608266972980052</c:v>
                </c:pt>
                <c:pt idx="141">
                  <c:v>1.0572979911230469</c:v>
                </c:pt>
                <c:pt idx="142">
                  <c:v>1.0499791887076086</c:v>
                </c:pt>
                <c:pt idx="143">
                  <c:v>1.0498427559608197</c:v>
                </c:pt>
                <c:pt idx="144">
                  <c:v>1.0413821416494879</c:v>
                </c:pt>
                <c:pt idx="145">
                  <c:v>1.0398136283045338</c:v>
                </c:pt>
                <c:pt idx="146">
                  <c:v>1.0349617239727569</c:v>
                </c:pt>
                <c:pt idx="147">
                  <c:v>1.0288408578220323</c:v>
                </c:pt>
                <c:pt idx="148">
                  <c:v>1.0281760590379481</c:v>
                </c:pt>
                <c:pt idx="149">
                  <c:v>1.0196877954063803</c:v>
                </c:pt>
                <c:pt idx="150">
                  <c:v>1.0190318019042044</c:v>
                </c:pt>
                <c:pt idx="151">
                  <c:v>1.0130720111784992</c:v>
                </c:pt>
                <c:pt idx="152">
                  <c:v>1.0084103776048308</c:v>
                </c:pt>
                <c:pt idx="153">
                  <c:v>1.0069233454726016</c:v>
                </c:pt>
                <c:pt idx="154">
                  <c:v>0.99900857724587189</c:v>
                </c:pt>
                <c:pt idx="155">
                  <c:v>0.99888263932575894</c:v>
                </c:pt>
                <c:pt idx="156">
                  <c:v>0.9922164689728441</c:v>
                </c:pt>
                <c:pt idx="157">
                  <c:v>0.9890451001320586</c:v>
                </c:pt>
                <c:pt idx="158">
                  <c:v>0.98661559090821715</c:v>
                </c:pt>
                <c:pt idx="159">
                  <c:v>0.97977002883867637</c:v>
                </c:pt>
                <c:pt idx="160">
                  <c:v>0.97976268749259121</c:v>
                </c:pt>
                <c:pt idx="161">
                  <c:v>0.97290705557849677</c:v>
                </c:pt>
                <c:pt idx="162">
                  <c:v>0.97104944218994438</c:v>
                </c:pt>
                <c:pt idx="163">
                  <c:v>0.96775760365660601</c:v>
                </c:pt>
                <c:pt idx="164">
                  <c:v>0.96229916006465177</c:v>
                </c:pt>
                <c:pt idx="165">
                  <c:v>0.96206316076411369</c:v>
                </c:pt>
                <c:pt idx="166">
                  <c:v>0.9555588205666522</c:v>
                </c:pt>
                <c:pt idx="167">
                  <c:v>0.95469165592927752</c:v>
                </c:pt>
                <c:pt idx="168">
                  <c:v>0.95080124180333569</c:v>
                </c:pt>
                <c:pt idx="169">
                  <c:v>0.94683541146279226</c:v>
                </c:pt>
                <c:pt idx="170">
                  <c:v>0.94616033348441186</c:v>
                </c:pt>
                <c:pt idx="171">
                  <c:v>0.94047905440030677</c:v>
                </c:pt>
                <c:pt idx="172">
                  <c:v>0.94021634651162689</c:v>
                </c:pt>
                <c:pt idx="173">
                  <c:v>0.93612013896845603</c:v>
                </c:pt>
                <c:pt idx="174">
                  <c:v>0.93354780663657844</c:v>
                </c:pt>
                <c:pt idx="175">
                  <c:v>0.93239846044651908</c:v>
                </c:pt>
                <c:pt idx="176">
                  <c:v>0.92786772481475588</c:v>
                </c:pt>
                <c:pt idx="177">
                  <c:v>0.92784974825124245</c:v>
                </c:pt>
                <c:pt idx="178">
                  <c:v>0.92399033849007206</c:v>
                </c:pt>
                <c:pt idx="179">
                  <c:v>0.92255387805220024</c:v>
                </c:pt>
                <c:pt idx="180">
                  <c:v>0.92106855293526857</c:v>
                </c:pt>
                <c:pt idx="181">
                  <c:v>0.91782799137973214</c:v>
                </c:pt>
                <c:pt idx="182">
                  <c:v>0.91779662473056223</c:v>
                </c:pt>
                <c:pt idx="183">
                  <c:v>0.91458004481607402</c:v>
                </c:pt>
                <c:pt idx="184">
                  <c:v>0.91393605546676604</c:v>
                </c:pt>
                <c:pt idx="185">
                  <c:v>0.9123872410394136</c:v>
                </c:pt>
                <c:pt idx="186">
                  <c:v>0.9103838450988555</c:v>
                </c:pt>
                <c:pt idx="187">
                  <c:v>0.9102296525795317</c:v>
                </c:pt>
                <c:pt idx="188">
                  <c:v>0.90794992250146533</c:v>
                </c:pt>
                <c:pt idx="189">
                  <c:v>0.9077521783671243</c:v>
                </c:pt>
                <c:pt idx="190">
                  <c:v>0.90647995680689331</c:v>
                </c:pt>
                <c:pt idx="191">
                  <c:v>0.90550085640270106</c:v>
                </c:pt>
                <c:pt idx="192">
                  <c:v>0.90527387039201679</c:v>
                </c:pt>
                <c:pt idx="193">
                  <c:v>0.904063388100521</c:v>
                </c:pt>
                <c:pt idx="194">
                  <c:v>0.90403839196725988</c:v>
                </c:pt>
                <c:pt idx="195">
                  <c:v>0.90337181324728777</c:v>
                </c:pt>
                <c:pt idx="196">
                  <c:v>0.90310581148611857</c:v>
                </c:pt>
                <c:pt idx="197">
                  <c:v>0.9029898836152247</c:v>
                </c:pt>
                <c:pt idx="198">
                  <c:v>0.90280455451364794</c:v>
                </c:pt>
                <c:pt idx="199">
                  <c:v>0.90280455451364794</c:v>
                </c:pt>
                <c:pt idx="200">
                  <c:v>0.9029880395445623</c:v>
                </c:pt>
                <c:pt idx="201">
                  <c:v>0.90310167181405243</c:v>
                </c:pt>
                <c:pt idx="202">
                  <c:v>0.90335981145420197</c:v>
                </c:pt>
                <c:pt idx="203">
                  <c:v>0.9040002498322145</c:v>
                </c:pt>
                <c:pt idx="204">
                  <c:v>0.90402402664190185</c:v>
                </c:pt>
                <c:pt idx="205">
                  <c:v>0.90516399540185422</c:v>
                </c:pt>
                <c:pt idx="206">
                  <c:v>0.90537562970167107</c:v>
                </c:pt>
                <c:pt idx="207">
                  <c:v>0.90627941469015627</c:v>
                </c:pt>
                <c:pt idx="208">
                  <c:v>0.90744206692941054</c:v>
                </c:pt>
                <c:pt idx="209">
                  <c:v>0.90762097828905242</c:v>
                </c:pt>
                <c:pt idx="210">
                  <c:v>0.90966301139215466</c:v>
                </c:pt>
                <c:pt idx="211">
                  <c:v>0.90979974815457387</c:v>
                </c:pt>
                <c:pt idx="212">
                  <c:v>0.91155859811177753</c:v>
                </c:pt>
                <c:pt idx="213">
                  <c:v>0.91290476392246722</c:v>
                </c:pt>
                <c:pt idx="214">
                  <c:v>0.9134588942928018</c:v>
                </c:pt>
                <c:pt idx="215">
                  <c:v>0.91619894384958822</c:v>
                </c:pt>
                <c:pt idx="216">
                  <c:v>0.91622539590856567</c:v>
                </c:pt>
                <c:pt idx="217">
                  <c:v>0.91893081885860051</c:v>
                </c:pt>
                <c:pt idx="218">
                  <c:v>0.92015841632967199</c:v>
                </c:pt>
                <c:pt idx="219">
                  <c:v>0.92133370214247612</c:v>
                </c:pt>
                <c:pt idx="220">
                  <c:v>0.92445964941509839</c:v>
                </c:pt>
                <c:pt idx="221">
                  <c:v>0.92447406305611368</c:v>
                </c:pt>
                <c:pt idx="222">
                  <c:v>0.92807020748132474</c:v>
                </c:pt>
                <c:pt idx="223">
                  <c:v>0.9289732652020859</c:v>
                </c:pt>
                <c:pt idx="224">
                  <c:v>0.93097396812687927</c:v>
                </c:pt>
                <c:pt idx="225">
                  <c:v>0.93412768543887847</c:v>
                </c:pt>
                <c:pt idx="226">
                  <c:v>0.93432789893994272</c:v>
                </c:pt>
                <c:pt idx="227">
                  <c:v>0.93861377614374131</c:v>
                </c:pt>
                <c:pt idx="228">
                  <c:v>0.93911787367344912</c:v>
                </c:pt>
                <c:pt idx="229">
                  <c:v>0.94204913957732894</c:v>
                </c:pt>
                <c:pt idx="230">
                  <c:v>0.94489537328851603</c:v>
                </c:pt>
                <c:pt idx="231">
                  <c:v>0.94552332009489071</c:v>
                </c:pt>
                <c:pt idx="232">
                  <c:v>0.95018522916345749</c:v>
                </c:pt>
                <c:pt idx="233">
                  <c:v>0.95035264747067683</c:v>
                </c:pt>
                <c:pt idx="234">
                  <c:v>0.95418517169481465</c:v>
                </c:pt>
                <c:pt idx="235">
                  <c:v>0.95647272050611798</c:v>
                </c:pt>
                <c:pt idx="236">
                  <c:v>0.95775031958769585</c:v>
                </c:pt>
                <c:pt idx="237">
                  <c:v>0.96241675811745775</c:v>
                </c:pt>
                <c:pt idx="238">
                  <c:v>0.96242170354306333</c:v>
                </c:pt>
                <c:pt idx="239">
                  <c:v>0.96698541158942375</c:v>
                </c:pt>
                <c:pt idx="240">
                  <c:v>0.96858828282009102</c:v>
                </c:pt>
                <c:pt idx="241">
                  <c:v>0.97065884594754581</c:v>
                </c:pt>
                <c:pt idx="242">
                  <c:v>0.97496579551712481</c:v>
                </c:pt>
                <c:pt idx="243">
                  <c:v>0.97504631320375434</c:v>
                </c:pt>
                <c:pt idx="244">
                  <c:v>0.98005361555127712</c:v>
                </c:pt>
                <c:pt idx="245">
                  <c:v>0.98098452184543705</c:v>
                </c:pt>
                <c:pt idx="246">
                  <c:v>0.98387209243965235</c:v>
                </c:pt>
                <c:pt idx="247">
                  <c:v>0.98752486740056888</c:v>
                </c:pt>
                <c:pt idx="248">
                  <c:v>0.98792267872116535</c:v>
                </c:pt>
                <c:pt idx="249">
                  <c:v>0.99301563690010597</c:v>
                </c:pt>
                <c:pt idx="250">
                  <c:v>0.99341027840938312</c:v>
                </c:pt>
                <c:pt idx="251">
                  <c:v>0.99700507281536399</c:v>
                </c:pt>
                <c:pt idx="252">
                  <c:v>0.99982416347453895</c:v>
                </c:pt>
                <c:pt idx="253">
                  <c:v>1.0007257498854181</c:v>
                </c:pt>
                <c:pt idx="254">
                  <c:v>1.0055366874349989</c:v>
                </c:pt>
                <c:pt idx="255">
                  <c:v>1.0056134308550677</c:v>
                </c:pt>
                <c:pt idx="256">
                  <c:v>1.0096857606037355</c:v>
                </c:pt>
                <c:pt idx="257">
                  <c:v>1.0116279167155344</c:v>
                </c:pt>
                <c:pt idx="258">
                  <c:v>1.0131193914900161</c:v>
                </c:pt>
                <c:pt idx="259">
                  <c:v>1.017332045071272</c:v>
                </c:pt>
                <c:pt idx="260">
                  <c:v>1.0173365736410793</c:v>
                </c:pt>
                <c:pt idx="261">
                  <c:v>1.0215755521528476</c:v>
                </c:pt>
                <c:pt idx="262">
                  <c:v>1.0227268486636234</c:v>
                </c:pt>
                <c:pt idx="263">
                  <c:v>1.0247717786616064</c:v>
                </c:pt>
                <c:pt idx="264">
                  <c:v>1.028170432218861</c:v>
                </c:pt>
                <c:pt idx="265">
                  <c:v>1.0283177099778433</c:v>
                </c:pt>
                <c:pt idx="266">
                  <c:v>1.0323859677043454</c:v>
                </c:pt>
                <c:pt idx="267">
                  <c:v>1.0329295634471773</c:v>
                </c:pt>
                <c:pt idx="268">
                  <c:v>1.0353737269686798</c:v>
                </c:pt>
                <c:pt idx="269">
                  <c:v>1.0378707312571702</c:v>
                </c:pt>
                <c:pt idx="270">
                  <c:v>1.0382967029704655</c:v>
                </c:pt>
                <c:pt idx="271">
                  <c:v>1.0418892765089438</c:v>
                </c:pt>
                <c:pt idx="272">
                  <c:v>1.0420557544017703</c:v>
                </c:pt>
                <c:pt idx="273">
                  <c:v>1.0446569956883094</c:v>
                </c:pt>
                <c:pt idx="274">
                  <c:v>1.0462939344449587</c:v>
                </c:pt>
                <c:pt idx="275">
                  <c:v>1.047026850856011</c:v>
                </c:pt>
                <c:pt idx="276">
                  <c:v>1.0499219418553687</c:v>
                </c:pt>
                <c:pt idx="277">
                  <c:v>1.049933452029129</c:v>
                </c:pt>
                <c:pt idx="278">
                  <c:v>1.0524095608006325</c:v>
                </c:pt>
                <c:pt idx="279">
                  <c:v>1.0533329996535501</c:v>
                </c:pt>
                <c:pt idx="280">
                  <c:v>1.0542897393196164</c:v>
                </c:pt>
                <c:pt idx="281">
                  <c:v>1.0563811655717712</c:v>
                </c:pt>
                <c:pt idx="282">
                  <c:v>1.0564014485993263</c:v>
                </c:pt>
                <c:pt idx="283">
                  <c:v>1.0584854299523749</c:v>
                </c:pt>
                <c:pt idx="284">
                  <c:v>1.0589034581264871</c:v>
                </c:pt>
                <c:pt idx="285">
                  <c:v>1.0599107290477723</c:v>
                </c:pt>
                <c:pt idx="286">
                  <c:v>1.0612160776222823</c:v>
                </c:pt>
                <c:pt idx="287">
                  <c:v>1.0613167310723963</c:v>
                </c:pt>
                <c:pt idx="288">
                  <c:v>1.0628076272134155</c:v>
                </c:pt>
                <c:pt idx="289">
                  <c:v>1.0629371837152251</c:v>
                </c:pt>
                <c:pt idx="290">
                  <c:v>1.0637722157358578</c:v>
                </c:pt>
                <c:pt idx="291">
                  <c:v>1.06441600778245</c:v>
                </c:pt>
                <c:pt idx="292">
                  <c:v>1.0645655241649143</c:v>
                </c:pt>
                <c:pt idx="293">
                  <c:v>1.0653642777858334</c:v>
                </c:pt>
                <c:pt idx="294">
                  <c:v>1.0653808006535823</c:v>
                </c:pt>
                <c:pt idx="295">
                  <c:v>1.0658221838600503</c:v>
                </c:pt>
                <c:pt idx="296">
                  <c:v>1.0659986227386709</c:v>
                </c:pt>
                <c:pt idx="297">
                  <c:v>1.066075648639466</c:v>
                </c:pt>
                <c:pt idx="298">
                  <c:v>1.0661989947639268</c:v>
                </c:pt>
                <c:pt idx="299">
                  <c:v>1.0661989947639268</c:v>
                </c:pt>
                <c:pt idx="300">
                  <c:v>1.0660764682150436</c:v>
                </c:pt>
                <c:pt idx="301">
                  <c:v>1.0660004625248549</c:v>
                </c:pt>
                <c:pt idx="302">
                  <c:v>1.0658275174854148</c:v>
                </c:pt>
                <c:pt idx="303">
                  <c:v>1.0653977496264855</c:v>
                </c:pt>
                <c:pt idx="304">
                  <c:v>1.0653817684921054</c:v>
                </c:pt>
                <c:pt idx="305">
                  <c:v>1.0646143385425948</c:v>
                </c:pt>
                <c:pt idx="306">
                  <c:v>1.06447164049679</c:v>
                </c:pt>
                <c:pt idx="307">
                  <c:v>1.0638612921928778</c:v>
                </c:pt>
                <c:pt idx="308">
                  <c:v>1.0630749028142237</c:v>
                </c:pt>
                <c:pt idx="309">
                  <c:v>1.0629537047964017</c:v>
                </c:pt>
                <c:pt idx="310">
                  <c:v>1.0615682739772552</c:v>
                </c:pt>
                <c:pt idx="311">
                  <c:v>1.0614753631002267</c:v>
                </c:pt>
                <c:pt idx="312">
                  <c:v>1.0602784460366985</c:v>
                </c:pt>
                <c:pt idx="313">
                  <c:v>1.0593609954523431</c:v>
                </c:pt>
                <c:pt idx="314">
                  <c:v>1.0589827794852893</c:v>
                </c:pt>
                <c:pt idx="315">
                  <c:v>1.0571098342186251</c:v>
                </c:pt>
                <c:pt idx="316">
                  <c:v>1.0570917266577478</c:v>
                </c:pt>
                <c:pt idx="317">
                  <c:v>1.0552370656416861</c:v>
                </c:pt>
                <c:pt idx="318">
                  <c:v>1.0543942949640539</c:v>
                </c:pt>
                <c:pt idx="319">
                  <c:v>1.0535862859677512</c:v>
                </c:pt>
                <c:pt idx="320">
                  <c:v>1.0514341540448553</c:v>
                </c:pt>
                <c:pt idx="321">
                  <c:v>1.0514242166898695</c:v>
                </c:pt>
                <c:pt idx="322">
                  <c:v>1.0489414296718447</c:v>
                </c:pt>
                <c:pt idx="323">
                  <c:v>1.0483170934698369</c:v>
                </c:pt>
                <c:pt idx="324">
                  <c:v>1.0469319914449799</c:v>
                </c:pt>
                <c:pt idx="325">
                  <c:v>1.0447456720814468</c:v>
                </c:pt>
                <c:pt idx="326">
                  <c:v>1.0446066859507384</c:v>
                </c:pt>
                <c:pt idx="327">
                  <c:v>1.0416274786261466</c:v>
                </c:pt>
                <c:pt idx="328">
                  <c:v>1.0412766022300886</c:v>
                </c:pt>
                <c:pt idx="329">
                  <c:v>1.0392335987213239</c:v>
                </c:pt>
                <c:pt idx="330">
                  <c:v>1.037247254348864</c:v>
                </c:pt>
                <c:pt idx="331">
                  <c:v>1.0368084481468189</c:v>
                </c:pt>
                <c:pt idx="332">
                  <c:v>1.0335465117715155</c:v>
                </c:pt>
                <c:pt idx="333">
                  <c:v>1.0334292187059786</c:v>
                </c:pt>
                <c:pt idx="334">
                  <c:v>1.030740731563673</c:v>
                </c:pt>
                <c:pt idx="335">
                  <c:v>1.029134000850972</c:v>
                </c:pt>
                <c:pt idx="336">
                  <c:v>1.0282355112891501</c:v>
                </c:pt>
                <c:pt idx="337">
                  <c:v>1.0249496758747023</c:v>
                </c:pt>
                <c:pt idx="338">
                  <c:v>1.0249461892767091</c:v>
                </c:pt>
                <c:pt idx="339">
                  <c:v>1.0217247483028076</c:v>
                </c:pt>
                <c:pt idx="340">
                  <c:v>1.0205919272864121</c:v>
                </c:pt>
                <c:pt idx="341">
                  <c:v>1.0191267919740026</c:v>
                </c:pt>
                <c:pt idx="342">
                  <c:v>1.0160755128328725</c:v>
                </c:pt>
                <c:pt idx="343">
                  <c:v>1.0160184014504956</c:v>
                </c:pt>
                <c:pt idx="344">
                  <c:v>1.012462491087762</c:v>
                </c:pt>
                <c:pt idx="345">
                  <c:v>1.011800632855498</c:v>
                </c:pt>
                <c:pt idx="346">
                  <c:v>1.0097452151702784</c:v>
                </c:pt>
                <c:pt idx="347">
                  <c:v>1.0071420881866366</c:v>
                </c:pt>
                <c:pt idx="348">
                  <c:v>1.0068582629177869</c:v>
                </c:pt>
                <c:pt idx="349">
                  <c:v>1.003220435647115</c:v>
                </c:pt>
                <c:pt idx="350">
                  <c:v>1.0029382276162644</c:v>
                </c:pt>
                <c:pt idx="351">
                  <c:v>1.0003646816210736</c:v>
                </c:pt>
                <c:pt idx="352">
                  <c:v>0.99834420021378956</c:v>
                </c:pt>
                <c:pt idx="353">
                  <c:v>0.99769729922971251</c:v>
                </c:pt>
                <c:pt idx="354">
                  <c:v>0.99424155535606995</c:v>
                </c:pt>
                <c:pt idx="355">
                  <c:v>0.99418636907646984</c:v>
                </c:pt>
                <c:pt idx="356">
                  <c:v>0.99125474794087431</c:v>
                </c:pt>
                <c:pt idx="357">
                  <c:v>0.98985509353628187</c:v>
                </c:pt>
                <c:pt idx="358">
                  <c:v>0.98877907134522136</c:v>
                </c:pt>
                <c:pt idx="359">
                  <c:v>0.98573659931431434</c:v>
                </c:pt>
                <c:pt idx="360">
                  <c:v>0.98573332519597723</c:v>
                </c:pt>
                <c:pt idx="361">
                  <c:v>0.98266533522337152</c:v>
                </c:pt>
                <c:pt idx="362">
                  <c:v>0.98183120028581228</c:v>
                </c:pt>
                <c:pt idx="363">
                  <c:v>0.98034806424331922</c:v>
                </c:pt>
                <c:pt idx="364">
                  <c:v>0.9778805486469565</c:v>
                </c:pt>
                <c:pt idx="365">
                  <c:v>0.97777351071283281</c:v>
                </c:pt>
                <c:pt idx="366">
                  <c:v>0.97481377007802061</c:v>
                </c:pt>
                <c:pt idx="367">
                  <c:v>0.97441789056965378</c:v>
                </c:pt>
                <c:pt idx="368">
                  <c:v>0.97263610198622785</c:v>
                </c:pt>
                <c:pt idx="369">
                  <c:v>0.97081396372165363</c:v>
                </c:pt>
                <c:pt idx="370">
                  <c:v>0.97050280918175325</c:v>
                </c:pt>
                <c:pt idx="371">
                  <c:v>0.96787598121813478</c:v>
                </c:pt>
                <c:pt idx="372">
                  <c:v>0.96775413546815725</c:v>
                </c:pt>
                <c:pt idx="373">
                  <c:v>0.96584841324219006</c:v>
                </c:pt>
                <c:pt idx="374">
                  <c:v>0.96464799148731384</c:v>
                </c:pt>
                <c:pt idx="375">
                  <c:v>0.96410999965366895</c:v>
                </c:pt>
                <c:pt idx="376">
                  <c:v>0.9619828373013557</c:v>
                </c:pt>
                <c:pt idx="377">
                  <c:v>0.96197437214710868</c:v>
                </c:pt>
                <c:pt idx="378">
                  <c:v>0.96015159022824459</c:v>
                </c:pt>
                <c:pt idx="379">
                  <c:v>0.95947116159977897</c:v>
                </c:pt>
                <c:pt idx="380">
                  <c:v>0.95876553470695847</c:v>
                </c:pt>
                <c:pt idx="381">
                  <c:v>0.95722160223809039</c:v>
                </c:pt>
                <c:pt idx="382">
                  <c:v>0.95720661504018412</c:v>
                </c:pt>
                <c:pt idx="383">
                  <c:v>0.95566533716449187</c:v>
                </c:pt>
                <c:pt idx="384">
                  <c:v>0.95535588773690239</c:v>
                </c:pt>
                <c:pt idx="385">
                  <c:v>0.9546095678314942</c:v>
                </c:pt>
                <c:pt idx="386">
                  <c:v>0.95364151863024271</c:v>
                </c:pt>
                <c:pt idx="387">
                  <c:v>0.95356680679098282</c:v>
                </c:pt>
                <c:pt idx="388">
                  <c:v>0.95245917443942885</c:v>
                </c:pt>
                <c:pt idx="389">
                  <c:v>0.95236283755346784</c:v>
                </c:pt>
                <c:pt idx="390">
                  <c:v>0.95174136870946757</c:v>
                </c:pt>
                <c:pt idx="391">
                  <c:v>0.95126180932782234</c:v>
                </c:pt>
                <c:pt idx="392">
                  <c:v>0.95115033782639213</c:v>
                </c:pt>
                <c:pt idx="393">
                  <c:v>0.95055431355088404</c:v>
                </c:pt>
                <c:pt idx="394">
                  <c:v>0.95054197368762861</c:v>
                </c:pt>
                <c:pt idx="395">
                  <c:v>0.95021205088683436</c:v>
                </c:pt>
                <c:pt idx="396">
                  <c:v>0.95008005505068749</c:v>
                </c:pt>
                <c:pt idx="397">
                  <c:v>0.9500223823912981</c:v>
                </c:pt>
                <c:pt idx="398">
                  <c:v>0.9499299500824917</c:v>
                </c:pt>
                <c:pt idx="399">
                  <c:v>0.9499299500824917</c:v>
                </c:pt>
                <c:pt idx="400">
                  <c:v>0.9500219213822767</c:v>
                </c:pt>
                <c:pt idx="401">
                  <c:v>0.95007902018435886</c:v>
                </c:pt>
                <c:pt idx="402">
                  <c:v>0.95020905082195273</c:v>
                </c:pt>
                <c:pt idx="403">
                  <c:v>0.9505324404979788</c:v>
                </c:pt>
                <c:pt idx="404">
                  <c:v>0.95054447567325262</c:v>
                </c:pt>
                <c:pt idx="405">
                  <c:v>0.95112288346771134</c:v>
                </c:pt>
                <c:pt idx="406">
                  <c:v>0.95123052056860102</c:v>
                </c:pt>
                <c:pt idx="407">
                  <c:v>0.95169127369998563</c:v>
                </c:pt>
                <c:pt idx="408">
                  <c:v>0.95228539183691507</c:v>
                </c:pt>
                <c:pt idx="409">
                  <c:v>0.95237702936258528</c:v>
                </c:pt>
                <c:pt idx="410">
                  <c:v>0.95342537239118508</c:v>
                </c:pt>
                <c:pt idx="411">
                  <c:v>0.95349573208446881</c:v>
                </c:pt>
                <c:pt idx="412">
                  <c:v>0.95440283872099274</c:v>
                </c:pt>
                <c:pt idx="413">
                  <c:v>0.95509868288400646</c:v>
                </c:pt>
                <c:pt idx="414">
                  <c:v>0.95538576247345697</c:v>
                </c:pt>
                <c:pt idx="415">
                  <c:v>0.95680848051255762</c:v>
                </c:pt>
                <c:pt idx="416">
                  <c:v>0.95682224573269692</c:v>
                </c:pt>
                <c:pt idx="417">
                  <c:v>0.95823320794108835</c:v>
                </c:pt>
                <c:pt idx="418">
                  <c:v>0.95887484003217349</c:v>
                </c:pt>
                <c:pt idx="419">
                  <c:v>0.95949046593411846</c:v>
                </c:pt>
                <c:pt idx="420">
                  <c:v>0.96113140262592256</c:v>
                </c:pt>
                <c:pt idx="421">
                  <c:v>0.96113898515745189</c:v>
                </c:pt>
                <c:pt idx="422">
                  <c:v>0.96303482488989167</c:v>
                </c:pt>
                <c:pt idx="423">
                  <c:v>0.9635119119876524</c:v>
                </c:pt>
                <c:pt idx="424">
                  <c:v>0.96457110765371945</c:v>
                </c:pt>
                <c:pt idx="425">
                  <c:v>0.96624420650938103</c:v>
                </c:pt>
                <c:pt idx="426">
                  <c:v>0.96635064319495856</c:v>
                </c:pt>
                <c:pt idx="427">
                  <c:v>0.96863377404184192</c:v>
                </c:pt>
                <c:pt idx="428">
                  <c:v>0.96890286106818935</c:v>
                </c:pt>
                <c:pt idx="429">
                  <c:v>0.97047074748189233</c:v>
                </c:pt>
                <c:pt idx="430">
                  <c:v>0.97199622309044043</c:v>
                </c:pt>
                <c:pt idx="431">
                  <c:v>0.9723334537827526</c:v>
                </c:pt>
                <c:pt idx="432">
                  <c:v>0.97484205612218922</c:v>
                </c:pt>
                <c:pt idx="433">
                  <c:v>0.97493232313575917</c:v>
                </c:pt>
                <c:pt idx="434">
                  <c:v>0.97700276725684521</c:v>
                </c:pt>
                <c:pt idx="435">
                  <c:v>0.97824098175103713</c:v>
                </c:pt>
                <c:pt idx="436">
                  <c:v>0.97893386729413545</c:v>
                </c:pt>
                <c:pt idx="437">
                  <c:v>0.98146951197469101</c:v>
                </c:pt>
                <c:pt idx="438">
                  <c:v>0.98147220435901839</c:v>
                </c:pt>
                <c:pt idx="439">
                  <c:v>0.98396149965703317</c:v>
                </c:pt>
                <c:pt idx="440">
                  <c:v>0.98483744515950689</c:v>
                </c:pt>
                <c:pt idx="441">
                  <c:v>0.98597110189444803</c:v>
                </c:pt>
                <c:pt idx="442">
                  <c:v>0.98833360470575216</c:v>
                </c:pt>
                <c:pt idx="443">
                  <c:v>0.98837785316417015</c:v>
                </c:pt>
                <c:pt idx="444">
                  <c:v>0.99113468254651416</c:v>
                </c:pt>
                <c:pt idx="445">
                  <c:v>0.99164814207199259</c:v>
                </c:pt>
                <c:pt idx="446">
                  <c:v>0.99324373477170425</c:v>
                </c:pt>
                <c:pt idx="447">
                  <c:v>0.99526580662506881</c:v>
                </c:pt>
                <c:pt idx="448">
                  <c:v>0.99548641913916358</c:v>
                </c:pt>
                <c:pt idx="449">
                  <c:v>0.99831584034968612</c:v>
                </c:pt>
                <c:pt idx="450">
                  <c:v>0.99853547453777602</c:v>
                </c:pt>
                <c:pt idx="451">
                  <c:v>1.0005396519499599</c:v>
                </c:pt>
                <c:pt idx="452">
                  <c:v>1.0021141109715299</c:v>
                </c:pt>
                <c:pt idx="453">
                  <c:v>1.0026185227520656</c:v>
                </c:pt>
                <c:pt idx="454">
                  <c:v>1.0053147624776548</c:v>
                </c:pt>
                <c:pt idx="455">
                  <c:v>1.0053578465029567</c:v>
                </c:pt>
                <c:pt idx="456">
                  <c:v>1.0076479750487064</c:v>
                </c:pt>
                <c:pt idx="457">
                  <c:v>1.0087420280549166</c:v>
                </c:pt>
                <c:pt idx="458">
                  <c:v>1.0095836227533714</c:v>
                </c:pt>
                <c:pt idx="459">
                  <c:v>1.0119646878210378</c:v>
                </c:pt>
                <c:pt idx="460">
                  <c:v>1.0119672517184775</c:v>
                </c:pt>
                <c:pt idx="461">
                  <c:v>1.0143711745974455</c:v>
                </c:pt>
                <c:pt idx="462">
                  <c:v>1.0150251508011909</c:v>
                </c:pt>
                <c:pt idx="463">
                  <c:v>1.0161886454552156</c:v>
                </c:pt>
                <c:pt idx="464">
                  <c:v>1.0181255125362316</c:v>
                </c:pt>
                <c:pt idx="465">
                  <c:v>1.018209580956595</c:v>
                </c:pt>
                <c:pt idx="466">
                  <c:v>1.020535544153546</c:v>
                </c:pt>
                <c:pt idx="467">
                  <c:v>1.020846834023373</c:v>
                </c:pt>
                <c:pt idx="468">
                  <c:v>1.0222487103288826</c:v>
                </c:pt>
                <c:pt idx="469">
                  <c:v>1.0236831596009943</c:v>
                </c:pt>
                <c:pt idx="470">
                  <c:v>1.0239282516058841</c:v>
                </c:pt>
                <c:pt idx="471">
                  <c:v>1.0259985482212783</c:v>
                </c:pt>
                <c:pt idx="472">
                  <c:v>1.0260946337704149</c:v>
                </c:pt>
                <c:pt idx="473">
                  <c:v>1.0275983048938573</c:v>
                </c:pt>
                <c:pt idx="474">
                  <c:v>1.0285460062792859</c:v>
                </c:pt>
                <c:pt idx="475">
                  <c:v>1.0289709746184674</c:v>
                </c:pt>
                <c:pt idx="476">
                  <c:v>1.0306521909849709</c:v>
                </c:pt>
                <c:pt idx="477">
                  <c:v>1.0306588851864467</c:v>
                </c:pt>
                <c:pt idx="478">
                  <c:v>1.0321011280825834</c:v>
                </c:pt>
                <c:pt idx="479">
                  <c:v>1.0326398007467854</c:v>
                </c:pt>
                <c:pt idx="480">
                  <c:v>1.0331987276618886</c:v>
                </c:pt>
                <c:pt idx="481">
                  <c:v>1.0344223421911576</c:v>
                </c:pt>
                <c:pt idx="482">
                  <c:v>1.0344342264495388</c:v>
                </c:pt>
                <c:pt idx="483">
                  <c:v>1.0356570584831459</c:v>
                </c:pt>
                <c:pt idx="484">
                  <c:v>1.035902703905047</c:v>
                </c:pt>
                <c:pt idx="485">
                  <c:v>1.0364954600439102</c:v>
                </c:pt>
                <c:pt idx="486">
                  <c:v>1.0372647311750895</c:v>
                </c:pt>
                <c:pt idx="487">
                  <c:v>1.0373241332112224</c:v>
                </c:pt>
                <c:pt idx="488">
                  <c:v>1.0382052558794321</c:v>
                </c:pt>
                <c:pt idx="489">
                  <c:v>1.0382819321764216</c:v>
                </c:pt>
                <c:pt idx="490">
                  <c:v>1.0387768289544341</c:v>
                </c:pt>
                <c:pt idx="491">
                  <c:v>1.0391589169170459</c:v>
                </c:pt>
                <c:pt idx="492">
                  <c:v>1.039247777566259</c:v>
                </c:pt>
                <c:pt idx="493">
                  <c:v>1.0397231491544174</c:v>
                </c:pt>
                <c:pt idx="494">
                  <c:v>1.0397329961160051</c:v>
                </c:pt>
                <c:pt idx="495">
                  <c:v>1.0399964022230908</c:v>
                </c:pt>
                <c:pt idx="496">
                  <c:v>1.0401018395408983</c:v>
                </c:pt>
                <c:pt idx="497">
                  <c:v>1.0401479313449886</c:v>
                </c:pt>
                <c:pt idx="498">
                  <c:v>1.0402218401450163</c:v>
                </c:pt>
                <c:pt idx="499">
                  <c:v>1.0402218401450163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84-40D7-8781-FDFDF02DB954}"/>
            </c:ext>
          </c:extLst>
        </c:ser>
        <c:ser>
          <c:idx val="2"/>
          <c:order val="2"/>
          <c:tx>
            <c:strRef>
              <c:f>Integration!I1</c:f>
              <c:strCache>
                <c:ptCount val="1"/>
                <c:pt idx="0">
                  <c:v>CumSum 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Integration!$A$2:$A$501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Integration!$I$2:$I$501</c:f>
              <c:numCache>
                <c:formatCode>General</c:formatCode>
                <c:ptCount val="500"/>
                <c:pt idx="0">
                  <c:v>0.76337650754491215</c:v>
                </c:pt>
                <c:pt idx="1">
                  <c:v>0.44335558006509496</c:v>
                </c:pt>
                <c:pt idx="2">
                  <c:v>0.39908658133252151</c:v>
                </c:pt>
                <c:pt idx="3">
                  <c:v>0.46593109608094768</c:v>
                </c:pt>
                <c:pt idx="4">
                  <c:v>0.50479195629350671</c:v>
                </c:pt>
                <c:pt idx="5">
                  <c:v>0.39291557010895539</c:v>
                </c:pt>
                <c:pt idx="6">
                  <c:v>0.39355533487489402</c:v>
                </c:pt>
                <c:pt idx="7">
                  <c:v>0.48097769882865632</c:v>
                </c:pt>
                <c:pt idx="8">
                  <c:v>0.37739562218691469</c:v>
                </c:pt>
                <c:pt idx="9">
                  <c:v>0.37363848363443491</c:v>
                </c:pt>
                <c:pt idx="10">
                  <c:v>0.41018993001938364</c:v>
                </c:pt>
                <c:pt idx="11">
                  <c:v>0.38390714742484788</c:v>
                </c:pt>
                <c:pt idx="12">
                  <c:v>0.34703890752676864</c:v>
                </c:pt>
                <c:pt idx="13">
                  <c:v>0.34936669584213864</c:v>
                </c:pt>
                <c:pt idx="14">
                  <c:v>0.37996007101417278</c:v>
                </c:pt>
                <c:pt idx="15">
                  <c:v>0.3159630444053303</c:v>
                </c:pt>
                <c:pt idx="16">
                  <c:v>0.31629845186014244</c:v>
                </c:pt>
                <c:pt idx="17">
                  <c:v>0.34302069928201295</c:v>
                </c:pt>
                <c:pt idx="18">
                  <c:v>0.30198872298769086</c:v>
                </c:pt>
                <c:pt idx="19">
                  <c:v>0.28906057904684485</c:v>
                </c:pt>
                <c:pt idx="20">
                  <c:v>0.29350081585872945</c:v>
                </c:pt>
                <c:pt idx="21">
                  <c:v>0.29664232719727168</c:v>
                </c:pt>
                <c:pt idx="22">
                  <c:v>0.25661642986562172</c:v>
                </c:pt>
                <c:pt idx="23">
                  <c:v>0.25701790291936216</c:v>
                </c:pt>
                <c:pt idx="24">
                  <c:v>0.27502422924250419</c:v>
                </c:pt>
                <c:pt idx="25">
                  <c:v>0.23278493402026684</c:v>
                </c:pt>
                <c:pt idx="26">
                  <c:v>0.23011933786879193</c:v>
                </c:pt>
                <c:pt idx="27">
                  <c:v>0.23626946125029555</c:v>
                </c:pt>
                <c:pt idx="28">
                  <c:v>0.22255483161598549</c:v>
                </c:pt>
                <c:pt idx="29">
                  <c:v>0.20008179301957299</c:v>
                </c:pt>
                <c:pt idx="30">
                  <c:v>0.20011381274384016</c:v>
                </c:pt>
                <c:pt idx="31">
                  <c:v>0.20880972480771293</c:v>
                </c:pt>
                <c:pt idx="32">
                  <c:v>0.17222582243162193</c:v>
                </c:pt>
                <c:pt idx="33">
                  <c:v>0.1734979379574563</c:v>
                </c:pt>
                <c:pt idx="34">
                  <c:v>0.18017855363006308</c:v>
                </c:pt>
                <c:pt idx="35">
                  <c:v>0.1568177396493908</c:v>
                </c:pt>
                <c:pt idx="36">
                  <c:v>0.14696146806533877</c:v>
                </c:pt>
                <c:pt idx="37">
                  <c:v>0.14708942139430328</c:v>
                </c:pt>
                <c:pt idx="38">
                  <c:v>0.14638793446285622</c:v>
                </c:pt>
                <c:pt idx="39">
                  <c:v>0.11900568618469336</c:v>
                </c:pt>
                <c:pt idx="40">
                  <c:v>0.12100856483762869</c:v>
                </c:pt>
                <c:pt idx="41">
                  <c:v>0.12655658572607037</c:v>
                </c:pt>
                <c:pt idx="42">
                  <c:v>9.9622338801140825E-2</c:v>
                </c:pt>
                <c:pt idx="43">
                  <c:v>9.7922802817807936E-2</c:v>
                </c:pt>
                <c:pt idx="44">
                  <c:v>9.8606686772840846E-2</c:v>
                </c:pt>
                <c:pt idx="45">
                  <c:v>8.9556676616152131E-2</c:v>
                </c:pt>
                <c:pt idx="46">
                  <c:v>7.2441121101527242E-2</c:v>
                </c:pt>
                <c:pt idx="47">
                  <c:v>7.3826269439659739E-2</c:v>
                </c:pt>
                <c:pt idx="48">
                  <c:v>7.6549557839629814E-2</c:v>
                </c:pt>
                <c:pt idx="49">
                  <c:v>5.1084766944926557E-2</c:v>
                </c:pt>
                <c:pt idx="50">
                  <c:v>5.3701259721368556E-2</c:v>
                </c:pt>
                <c:pt idx="51">
                  <c:v>5.4979858187336993E-2</c:v>
                </c:pt>
                <c:pt idx="52">
                  <c:v>3.9801912730971327E-2</c:v>
                </c:pt>
                <c:pt idx="53">
                  <c:v>3.2092644819718436E-2</c:v>
                </c:pt>
                <c:pt idx="54">
                  <c:v>3.2652186237472625E-2</c:v>
                </c:pt>
                <c:pt idx="55">
                  <c:v>3.1316836536282235E-2</c:v>
                </c:pt>
                <c:pt idx="56">
                  <c:v>1.0998018680633874E-2</c:v>
                </c:pt>
                <c:pt idx="57">
                  <c:v>1.501555104812613E-2</c:v>
                </c:pt>
                <c:pt idx="58">
                  <c:v>1.6407381976437121E-2</c:v>
                </c:pt>
                <c:pt idx="59">
                  <c:v>-1.847450209004918E-3</c:v>
                </c:pt>
                <c:pt idx="60">
                  <c:v>-2.2959418537003597E-3</c:v>
                </c:pt>
                <c:pt idx="61">
                  <c:v>-2.2175188456253579E-3</c:v>
                </c:pt>
                <c:pt idx="62">
                  <c:v>-8.0061227918148577E-3</c:v>
                </c:pt>
                <c:pt idx="63">
                  <c:v>-2.1146580655942757E-2</c:v>
                </c:pt>
                <c:pt idx="64">
                  <c:v>-1.7549326063000761E-2</c:v>
                </c:pt>
                <c:pt idx="65">
                  <c:v>-1.6893993822419465E-2</c:v>
                </c:pt>
                <c:pt idx="66">
                  <c:v>-3.4912930813628465E-2</c:v>
                </c:pt>
                <c:pt idx="67">
                  <c:v>-3.0820736901217605E-2</c:v>
                </c:pt>
                <c:pt idx="68">
                  <c:v>-3.0806351227996121E-2</c:v>
                </c:pt>
                <c:pt idx="69">
                  <c:v>-4.0437653483601628E-2</c:v>
                </c:pt>
                <c:pt idx="70">
                  <c:v>-4.6039403615925213E-2</c:v>
                </c:pt>
                <c:pt idx="71">
                  <c:v>-4.3647688967562728E-2</c:v>
                </c:pt>
                <c:pt idx="72">
                  <c:v>-4.4633594393450791E-2</c:v>
                </c:pt>
                <c:pt idx="73">
                  <c:v>-5.9474427849912456E-2</c:v>
                </c:pt>
                <c:pt idx="74">
                  <c:v>-5.34723190755318E-2</c:v>
                </c:pt>
                <c:pt idx="75">
                  <c:v>-5.3345538111192692E-2</c:v>
                </c:pt>
                <c:pt idx="76">
                  <c:v>-6.5301325625841455E-2</c:v>
                </c:pt>
                <c:pt idx="77">
                  <c:v>-6.4415258325226821E-2</c:v>
                </c:pt>
                <c:pt idx="78">
                  <c:v>-6.323494221067523E-2</c:v>
                </c:pt>
                <c:pt idx="79">
                  <c:v>-6.6466978195886775E-2</c:v>
                </c:pt>
                <c:pt idx="80">
                  <c:v>-7.6091762758752304E-2</c:v>
                </c:pt>
                <c:pt idx="81">
                  <c:v>-7.0225903568585657E-2</c:v>
                </c:pt>
                <c:pt idx="82">
                  <c:v>-7.015720565615427E-2</c:v>
                </c:pt>
                <c:pt idx="83">
                  <c:v>-8.2347115486410022E-2</c:v>
                </c:pt>
                <c:pt idx="84">
                  <c:v>-7.6948284573698095E-2</c:v>
                </c:pt>
                <c:pt idx="85">
                  <c:v>-7.6569342289800682E-2</c:v>
                </c:pt>
                <c:pt idx="86">
                  <c:v>-8.2078389630893131E-2</c:v>
                </c:pt>
                <c:pt idx="87">
                  <c:v>-8.5662405439238615E-2</c:v>
                </c:pt>
                <c:pt idx="88">
                  <c:v>-8.1144810942222478E-2</c:v>
                </c:pt>
                <c:pt idx="89">
                  <c:v>-8.1562270781386906E-2</c:v>
                </c:pt>
                <c:pt idx="90">
                  <c:v>-9.1806651987712956E-2</c:v>
                </c:pt>
                <c:pt idx="91">
                  <c:v>-8.4204707296081399E-2</c:v>
                </c:pt>
                <c:pt idx="92">
                  <c:v>-8.4156552958860223E-2</c:v>
                </c:pt>
                <c:pt idx="93">
                  <c:v>-9.1297598885533723E-2</c:v>
                </c:pt>
                <c:pt idx="94">
                  <c:v>-8.9252290453293748E-2</c:v>
                </c:pt>
                <c:pt idx="95">
                  <c:v>-8.6467102338776053E-2</c:v>
                </c:pt>
                <c:pt idx="96">
                  <c:v>-8.7836246629474271E-2</c:v>
                </c:pt>
                <c:pt idx="97">
                  <c:v>-9.436728596579691E-2</c:v>
                </c:pt>
                <c:pt idx="98">
                  <c:v>-8.6656412152211995E-2</c:v>
                </c:pt>
                <c:pt idx="99">
                  <c:v>-8.6656412152211995E-2</c:v>
                </c:pt>
                <c:pt idx="100">
                  <c:v>-9.4214595395230971E-2</c:v>
                </c:pt>
                <c:pt idx="101">
                  <c:v>-8.7939675248567634E-2</c:v>
                </c:pt>
                <c:pt idx="102">
                  <c:v>-8.6650286935968518E-2</c:v>
                </c:pt>
                <c:pt idx="103">
                  <c:v>-8.9221229810907923E-2</c:v>
                </c:pt>
                <c:pt idx="104">
                  <c:v>-9.1071746963886757E-2</c:v>
                </c:pt>
                <c:pt idx="105">
                  <c:v>-8.4739121330799083E-2</c:v>
                </c:pt>
                <c:pt idx="106">
                  <c:v>-8.4780975100533396E-2</c:v>
                </c:pt>
                <c:pt idx="107">
                  <c:v>-9.1256705763775009E-2</c:v>
                </c:pt>
                <c:pt idx="108">
                  <c:v>-8.2704057233722789E-2</c:v>
                </c:pt>
                <c:pt idx="109">
                  <c:v>-8.2362499183497376E-2</c:v>
                </c:pt>
                <c:pt idx="110">
                  <c:v>-8.5984714591014796E-2</c:v>
                </c:pt>
                <c:pt idx="111">
                  <c:v>-8.3168702170171402E-2</c:v>
                </c:pt>
                <c:pt idx="112">
                  <c:v>-7.8927223243843825E-2</c:v>
                </c:pt>
                <c:pt idx="113">
                  <c:v>-7.921309198432791E-2</c:v>
                </c:pt>
                <c:pt idx="114">
                  <c:v>-8.3203532224158383E-2</c:v>
                </c:pt>
                <c:pt idx="115">
                  <c:v>-7.4376356140180094E-2</c:v>
                </c:pt>
                <c:pt idx="116">
                  <c:v>-7.4425090556691262E-2</c:v>
                </c:pt>
                <c:pt idx="117">
                  <c:v>-7.8501365587146099E-2</c:v>
                </c:pt>
                <c:pt idx="118">
                  <c:v>-7.1950041640993556E-2</c:v>
                </c:pt>
                <c:pt idx="119">
                  <c:v>-6.9795350984185989E-2</c:v>
                </c:pt>
                <c:pt idx="120">
                  <c:v>-7.0565970596165983E-2</c:v>
                </c:pt>
                <c:pt idx="121">
                  <c:v>-7.1132472640820968E-2</c:v>
                </c:pt>
                <c:pt idx="122">
                  <c:v>-6.3647955253601979E-2</c:v>
                </c:pt>
                <c:pt idx="123">
                  <c:v>-6.3725659715616265E-2</c:v>
                </c:pt>
                <c:pt idx="124">
                  <c:v>-6.7326924980244743E-2</c:v>
                </c:pt>
                <c:pt idx="125">
                  <c:v>-5.8610879934386184E-2</c:v>
                </c:pt>
                <c:pt idx="126">
                  <c:v>-5.8044178390371876E-2</c:v>
                </c:pt>
                <c:pt idx="127">
                  <c:v>-5.9389517880075855E-2</c:v>
                </c:pt>
                <c:pt idx="128">
                  <c:v>-5.6306384086315962E-2</c:v>
                </c:pt>
                <c:pt idx="129">
                  <c:v>-5.1120298256374749E-2</c:v>
                </c:pt>
                <c:pt idx="130">
                  <c:v>-5.1127875443033398E-2</c:v>
                </c:pt>
                <c:pt idx="131">
                  <c:v>-5.3235975337305508E-2</c:v>
                </c:pt>
                <c:pt idx="132">
                  <c:v>-4.4158766477072384E-2</c:v>
                </c:pt>
                <c:pt idx="133">
                  <c:v>-4.4481542058254275E-2</c:v>
                </c:pt>
                <c:pt idx="134">
                  <c:v>-4.6213553528930119E-2</c:v>
                </c:pt>
                <c:pt idx="135">
                  <c:v>-4.0029808651693241E-2</c:v>
                </c:pt>
                <c:pt idx="136">
                  <c:v>-3.7367895888117245E-2</c:v>
                </c:pt>
                <c:pt idx="137">
                  <c:v>-3.7403129413484282E-2</c:v>
                </c:pt>
                <c:pt idx="138">
                  <c:v>-3.7206309339193368E-2</c:v>
                </c:pt>
                <c:pt idx="139">
                  <c:v>-2.9382809831146887E-2</c:v>
                </c:pt>
                <c:pt idx="140">
                  <c:v>-2.9965207169943647E-2</c:v>
                </c:pt>
                <c:pt idx="141">
                  <c:v>-3.1606171094693929E-2</c:v>
                </c:pt>
                <c:pt idx="142">
                  <c:v>-2.3507061879505242E-2</c:v>
                </c:pt>
                <c:pt idx="143">
                  <c:v>-2.2987759217931277E-2</c:v>
                </c:pt>
                <c:pt idx="144">
                  <c:v>-2.3199999066044967E-2</c:v>
                </c:pt>
                <c:pt idx="145">
                  <c:v>-2.0348626002978598E-2</c:v>
                </c:pt>
                <c:pt idx="146">
                  <c:v>-1.4876305532316324E-2</c:v>
                </c:pt>
                <c:pt idx="147">
                  <c:v>-1.5325542831170092E-2</c:v>
                </c:pt>
                <c:pt idx="148">
                  <c:v>-1.6221120895589795E-2</c:v>
                </c:pt>
                <c:pt idx="149">
                  <c:v>-7.732857264022043E-3</c:v>
                </c:pt>
                <c:pt idx="150">
                  <c:v>-8.6165733673236357E-3</c:v>
                </c:pt>
                <c:pt idx="151">
                  <c:v>-9.053988631997115E-3</c:v>
                </c:pt>
                <c:pt idx="152">
                  <c:v>-3.7962689641057061E-3</c:v>
                </c:pt>
                <c:pt idx="153">
                  <c:v>-1.0930191770429261E-3</c:v>
                </c:pt>
                <c:pt idx="154">
                  <c:v>-1.2915661317298619E-3</c:v>
                </c:pt>
                <c:pt idx="155">
                  <c:v>-8.1220982873842721E-4</c:v>
                </c:pt>
                <c:pt idx="156">
                  <c:v>6.5646858258599991E-3</c:v>
                </c:pt>
                <c:pt idx="157">
                  <c:v>5.0898954631096449E-3</c:v>
                </c:pt>
                <c:pt idx="158">
                  <c:v>4.5734298985162314E-3</c:v>
                </c:pt>
                <c:pt idx="159">
                  <c:v>1.1418991968056996E-2</c:v>
                </c:pt>
                <c:pt idx="160">
                  <c:v>1.1588917373811158E-2</c:v>
                </c:pt>
                <c:pt idx="161">
                  <c:v>1.1558903629979991E-2</c:v>
                </c:pt>
                <c:pt idx="162">
                  <c:v>1.3796216811636168E-2</c:v>
                </c:pt>
                <c:pt idx="163">
                  <c:v>1.892420036836891E-2</c:v>
                </c:pt>
                <c:pt idx="164">
                  <c:v>1.7507100074179691E-2</c:v>
                </c:pt>
                <c:pt idx="165">
                  <c:v>1.72465462917799E-2</c:v>
                </c:pt>
                <c:pt idx="166">
                  <c:v>2.4475700653522406E-2</c:v>
                </c:pt>
                <c:pt idx="167">
                  <c:v>2.2819336450879985E-2</c:v>
                </c:pt>
                <c:pt idx="168">
                  <c:v>2.2813463010333934E-2</c:v>
                </c:pt>
                <c:pt idx="169">
                  <c:v>2.6779293350877417E-2</c:v>
                </c:pt>
                <c:pt idx="170">
                  <c:v>2.9105166212836316E-2</c:v>
                </c:pt>
                <c:pt idx="171">
                  <c:v>2.8103983336777667E-2</c:v>
                </c:pt>
                <c:pt idx="172">
                  <c:v>2.8520001233250703E-2</c:v>
                </c:pt>
                <c:pt idx="173">
                  <c:v>3.4831620059561953E-2</c:v>
                </c:pt>
                <c:pt idx="174">
                  <c:v>3.225928772768448E-2</c:v>
                </c:pt>
                <c:pt idx="175">
                  <c:v>3.2204541402174401E-2</c:v>
                </c:pt>
                <c:pt idx="176">
                  <c:v>3.7405646705157211E-2</c:v>
                </c:pt>
                <c:pt idx="177">
                  <c:v>3.7017370022865481E-2</c:v>
                </c:pt>
                <c:pt idx="178">
                  <c:v>3.6496448385717035E-2</c:v>
                </c:pt>
                <c:pt idx="179">
                  <c:v>3.793290882358883E-2</c:v>
                </c:pt>
                <c:pt idx="180">
                  <c:v>4.2240132854484448E-2</c:v>
                </c:pt>
                <c:pt idx="181">
                  <c:v>3.9597273219354412E-2</c:v>
                </c:pt>
                <c:pt idx="182">
                  <c:v>3.9566115149781707E-2</c:v>
                </c:pt>
                <c:pt idx="183">
                  <c:v>4.5131073985333246E-2</c:v>
                </c:pt>
                <c:pt idx="184">
                  <c:v>4.2650530052465496E-2</c:v>
                </c:pt>
                <c:pt idx="185">
                  <c:v>4.2475320179265634E-2</c:v>
                </c:pt>
                <c:pt idx="186">
                  <c:v>4.5038352899452946E-2</c:v>
                </c:pt>
                <c:pt idx="187">
                  <c:v>4.6715977320380797E-2</c:v>
                </c:pt>
                <c:pt idx="188">
                  <c:v>4.4588644461997534E-2</c:v>
                </c:pt>
                <c:pt idx="189">
                  <c:v>4.4786388596338586E-2</c:v>
                </c:pt>
                <c:pt idx="190">
                  <c:v>4.9667219432860413E-2</c:v>
                </c:pt>
                <c:pt idx="191">
                  <c:v>4.6024620934786986E-2</c:v>
                </c:pt>
                <c:pt idx="192">
                  <c:v>4.6001417031359168E-2</c:v>
                </c:pt>
                <c:pt idx="193">
                  <c:v>4.9461511449438181E-2</c:v>
                </c:pt>
                <c:pt idx="194">
                  <c:v>4.8465079136295441E-2</c:v>
                </c:pt>
                <c:pt idx="195">
                  <c:v>4.7100905365919515E-2</c:v>
                </c:pt>
                <c:pt idx="196">
                  <c:v>4.7775052554740551E-2</c:v>
                </c:pt>
                <c:pt idx="197">
                  <c:v>5.100758717574886E-2</c:v>
                </c:pt>
                <c:pt idx="198">
                  <c:v>4.7171524323764286E-2</c:v>
                </c:pt>
                <c:pt idx="199">
                  <c:v>4.7171524323764286E-2</c:v>
                </c:pt>
                <c:pt idx="200">
                  <c:v>5.0969417396127037E-2</c:v>
                </c:pt>
                <c:pt idx="201">
                  <c:v>4.7800893361673216E-2</c:v>
                </c:pt>
                <c:pt idx="202">
                  <c:v>4.7146671705526833E-2</c:v>
                </c:pt>
                <c:pt idx="203">
                  <c:v>4.8457348465299956E-2</c:v>
                </c:pt>
                <c:pt idx="204">
                  <c:v>4.9405174324142508E-2</c:v>
                </c:pt>
                <c:pt idx="205">
                  <c:v>4.614663880420429E-2</c:v>
                </c:pt>
                <c:pt idx="206">
                  <c:v>4.6168273361506577E-2</c:v>
                </c:pt>
                <c:pt idx="207">
                  <c:v>4.9530671975112704E-2</c:v>
                </c:pt>
                <c:pt idx="208">
                  <c:v>4.5070199775229004E-2</c:v>
                </c:pt>
                <c:pt idx="209">
                  <c:v>4.4891288415587129E-2</c:v>
                </c:pt>
                <c:pt idx="210">
                  <c:v>4.6796814056508693E-2</c:v>
                </c:pt>
                <c:pt idx="211">
                  <c:v>4.5309109381346052E-2</c:v>
                </c:pt>
                <c:pt idx="212">
                  <c:v>4.3058935115266178E-2</c:v>
                </c:pt>
                <c:pt idx="213">
                  <c:v>4.3211220332159565E-2</c:v>
                </c:pt>
                <c:pt idx="214">
                  <c:v>4.534564185578966E-2</c:v>
                </c:pt>
                <c:pt idx="215">
                  <c:v>4.0605121366245847E-2</c:v>
                </c:pt>
                <c:pt idx="216">
                  <c:v>4.0631397526300267E-2</c:v>
                </c:pt>
                <c:pt idx="217">
                  <c:v>4.2837821625353836E-2</c:v>
                </c:pt>
                <c:pt idx="218">
                  <c:v>3.9277969800732192E-2</c:v>
                </c:pt>
                <c:pt idx="219">
                  <c:v>3.8102683987928085E-2</c:v>
                </c:pt>
                <c:pt idx="220">
                  <c:v>3.8524606942903598E-2</c:v>
                </c:pt>
                <c:pt idx="221">
                  <c:v>3.8835927886362566E-2</c:v>
                </c:pt>
                <c:pt idx="222">
                  <c:v>3.4707696323008602E-2</c:v>
                </c:pt>
                <c:pt idx="223">
                  <c:v>3.4750711293052218E-2</c:v>
                </c:pt>
                <c:pt idx="224">
                  <c:v>3.6751414217845779E-2</c:v>
                </c:pt>
                <c:pt idx="225">
                  <c:v>3.1892026271924515E-2</c:v>
                </c:pt>
                <c:pt idx="226">
                  <c:v>3.1574972985185308E-2</c:v>
                </c:pt>
                <c:pt idx="227">
                  <c:v>3.2330251295194609E-2</c:v>
                </c:pt>
                <c:pt idx="228">
                  <c:v>3.0593464136264122E-2</c:v>
                </c:pt>
                <c:pt idx="229">
                  <c:v>2.7662198232384333E-2</c:v>
                </c:pt>
                <c:pt idx="230">
                  <c:v>2.7666495251658284E-2</c:v>
                </c:pt>
                <c:pt idx="231">
                  <c:v>2.8865931398399262E-2</c:v>
                </c:pt>
                <c:pt idx="232">
                  <c:v>2.3684520332257632E-2</c:v>
                </c:pt>
                <c:pt idx="233">
                  <c:v>2.3869357630883166E-2</c:v>
                </c:pt>
                <c:pt idx="234">
                  <c:v>2.4864342943824582E-2</c:v>
                </c:pt>
                <c:pt idx="235">
                  <c:v>2.1300828946772637E-2</c:v>
                </c:pt>
                <c:pt idx="236">
                  <c:v>1.9762086125633922E-2</c:v>
                </c:pt>
                <c:pt idx="237">
                  <c:v>1.9782515648745919E-2</c:v>
                </c:pt>
                <c:pt idx="238">
                  <c:v>1.9668047069973951E-2</c:v>
                </c:pt>
                <c:pt idx="239">
                  <c:v>1.5104339023613567E-2</c:v>
                </c:pt>
                <c:pt idx="240">
                  <c:v>1.544507771560673E-2</c:v>
                </c:pt>
                <c:pt idx="241">
                  <c:v>1.64079573739313E-2</c:v>
                </c:pt>
                <c:pt idx="242">
                  <c:v>1.1641814913964252E-2</c:v>
                </c:pt>
                <c:pt idx="243">
                  <c:v>1.1335341212051854E-2</c:v>
                </c:pt>
                <c:pt idx="244">
                  <c:v>1.1460952550731382E-2</c:v>
                </c:pt>
                <c:pt idx="245">
                  <c:v>9.7686742287487211E-3</c:v>
                </c:pt>
                <c:pt idx="246">
                  <c:v>6.5118681186786646E-3</c:v>
                </c:pt>
                <c:pt idx="247">
                  <c:v>6.7799613454139866E-3</c:v>
                </c:pt>
                <c:pt idx="248">
                  <c:v>7.3158695044442407E-3</c:v>
                </c:pt>
                <c:pt idx="249">
                  <c:v>2.2229113255035895E-3</c:v>
                </c:pt>
                <c:pt idx="250">
                  <c:v>2.7545492999997969E-3</c:v>
                </c:pt>
                <c:pt idx="251">
                  <c:v>3.0183870786917315E-3</c:v>
                </c:pt>
                <c:pt idx="252">
                  <c:v>-1.6118252283947847E-4</c:v>
                </c:pt>
                <c:pt idx="253">
                  <c:v>-1.8001607401923504E-3</c:v>
                </c:pt>
                <c:pt idx="254">
                  <c:v>-1.6794753363630339E-3</c:v>
                </c:pt>
                <c:pt idx="255">
                  <c:v>-1.9715830834985499E-3</c:v>
                </c:pt>
                <c:pt idx="256">
                  <c:v>-6.47809132385627E-3</c:v>
                </c:pt>
                <c:pt idx="257">
                  <c:v>-5.5749251327145699E-3</c:v>
                </c:pt>
                <c:pt idx="258">
                  <c:v>-5.2578671220182118E-3</c:v>
                </c:pt>
                <c:pt idx="259">
                  <c:v>-9.4705207032741625E-3</c:v>
                </c:pt>
                <c:pt idx="260">
                  <c:v>-9.5753405895822336E-3</c:v>
                </c:pt>
                <c:pt idx="261">
                  <c:v>-9.5567824731675327E-3</c:v>
                </c:pt>
                <c:pt idx="262">
                  <c:v>-1.0943406232140752E-2</c:v>
                </c:pt>
                <c:pt idx="263">
                  <c:v>-1.4128971774959524E-2</c:v>
                </c:pt>
                <c:pt idx="264">
                  <c:v>-1.3246626308766227E-2</c:v>
                </c:pt>
                <c:pt idx="265">
                  <c:v>-1.3084025076140832E-2</c:v>
                </c:pt>
                <c:pt idx="266">
                  <c:v>-1.7605630987792519E-2</c:v>
                </c:pt>
                <c:pt idx="267">
                  <c:v>-1.6567313129419489E-2</c:v>
                </c:pt>
                <c:pt idx="268">
                  <c:v>-1.6563623124020665E-2</c:v>
                </c:pt>
                <c:pt idx="269">
                  <c:v>-1.9060627412511029E-2</c:v>
                </c:pt>
                <c:pt idx="270">
                  <c:v>-2.0528244605850333E-2</c:v>
                </c:pt>
                <c:pt idx="271">
                  <c:v>-1.989514366951908E-2</c:v>
                </c:pt>
                <c:pt idx="272">
                  <c:v>-2.0158774058126553E-2</c:v>
                </c:pt>
                <c:pt idx="273">
                  <c:v>-2.4166882363886213E-2</c:v>
                </c:pt>
                <c:pt idx="274">
                  <c:v>-2.2529943607236837E-2</c:v>
                </c:pt>
                <c:pt idx="275">
                  <c:v>-2.2495032906911579E-2</c:v>
                </c:pt>
                <c:pt idx="276">
                  <c:v>-2.5818482865857358E-2</c:v>
                </c:pt>
                <c:pt idx="277">
                  <c:v>-2.556987405489353E-2</c:v>
                </c:pt>
                <c:pt idx="278">
                  <c:v>-2.5235662681955994E-2</c:v>
                </c:pt>
                <c:pt idx="279">
                  <c:v>-2.6159101534873632E-2</c:v>
                </c:pt>
                <c:pt idx="280">
                  <c:v>-2.893350562594869E-2</c:v>
                </c:pt>
                <c:pt idx="281">
                  <c:v>-2.7227830258595365E-2</c:v>
                </c:pt>
                <c:pt idx="282">
                  <c:v>-2.7207682107599589E-2</c:v>
                </c:pt>
                <c:pt idx="283">
                  <c:v>-3.0813148395421652E-2</c:v>
                </c:pt>
                <c:pt idx="284">
                  <c:v>-2.9202970754788123E-2</c:v>
                </c:pt>
                <c:pt idx="285">
                  <c:v>-2.9089023075014788E-2</c:v>
                </c:pt>
                <c:pt idx="286">
                  <c:v>-3.0759013035555099E-2</c:v>
                </c:pt>
                <c:pt idx="287">
                  <c:v>-3.1854128976994051E-2</c:v>
                </c:pt>
                <c:pt idx="288">
                  <c:v>-3.0462897453691556E-2</c:v>
                </c:pt>
                <c:pt idx="289">
                  <c:v>-3.0592453955501229E-2</c:v>
                </c:pt>
                <c:pt idx="290">
                  <c:v>-3.379602333617366E-2</c:v>
                </c:pt>
                <c:pt idx="291">
                  <c:v>-3.1400890077166441E-2</c:v>
                </c:pt>
                <c:pt idx="292">
                  <c:v>-3.1385605594703748E-2</c:v>
                </c:pt>
                <c:pt idx="293">
                  <c:v>-3.3668797149490517E-2</c:v>
                </c:pt>
                <c:pt idx="294">
                  <c:v>-3.301013850181983E-2</c:v>
                </c:pt>
                <c:pt idx="295">
                  <c:v>-3.21068342484628E-2</c:v>
                </c:pt>
                <c:pt idx="296">
                  <c:v>-3.2553995851822157E-2</c:v>
                </c:pt>
                <c:pt idx="297">
                  <c:v>-3.4701787311418229E-2</c:v>
                </c:pt>
                <c:pt idx="298">
                  <c:v>-3.2148688623977108E-2</c:v>
                </c:pt>
                <c:pt idx="299">
                  <c:v>-3.2148688623977108E-2</c:v>
                </c:pt>
                <c:pt idx="300">
                  <c:v>-3.4684823200538284E-2</c:v>
                </c:pt>
                <c:pt idx="301">
                  <c:v>-3.2565479309943385E-2</c:v>
                </c:pt>
                <c:pt idx="302">
                  <c:v>-3.2127172391799158E-2</c:v>
                </c:pt>
                <c:pt idx="303">
                  <c:v>-3.300670548059436E-2</c:v>
                </c:pt>
                <c:pt idx="304">
                  <c:v>-3.3643768762767277E-2</c:v>
                </c:pt>
                <c:pt idx="305">
                  <c:v>-3.1450114131697633E-2</c:v>
                </c:pt>
                <c:pt idx="306">
                  <c:v>-3.146470160193076E-2</c:v>
                </c:pt>
                <c:pt idx="307">
                  <c:v>-3.3735412353976563E-2</c:v>
                </c:pt>
                <c:pt idx="308">
                  <c:v>-3.071845866538217E-2</c:v>
                </c:pt>
                <c:pt idx="309">
                  <c:v>-3.059726064756027E-2</c:v>
                </c:pt>
                <c:pt idx="310">
                  <c:v>-3.1890077079182289E-2</c:v>
                </c:pt>
                <c:pt idx="311">
                  <c:v>-3.0879200825546186E-2</c:v>
                </c:pt>
                <c:pt idx="312">
                  <c:v>-2.9347932075785843E-2</c:v>
                </c:pt>
                <c:pt idx="313">
                  <c:v>-2.9451718815961619E-2</c:v>
                </c:pt>
                <c:pt idx="314">
                  <c:v>-3.0908546205105962E-2</c:v>
                </c:pt>
                <c:pt idx="315">
                  <c:v>-2.7668190427443021E-2</c:v>
                </c:pt>
                <c:pt idx="316">
                  <c:v>-2.768617757801654E-2</c:v>
                </c:pt>
                <c:pt idx="317">
                  <c:v>-2.9198757620763995E-2</c:v>
                </c:pt>
                <c:pt idx="318">
                  <c:v>-2.6754846806995573E-2</c:v>
                </c:pt>
                <c:pt idx="319">
                  <c:v>-2.5946837810692732E-2</c:v>
                </c:pt>
                <c:pt idx="320">
                  <c:v>-2.6237320592778675E-2</c:v>
                </c:pt>
                <c:pt idx="321">
                  <c:v>-2.6451958013424346E-2</c:v>
                </c:pt>
                <c:pt idx="322">
                  <c:v>-2.3601816717362719E-2</c:v>
                </c:pt>
                <c:pt idx="323">
                  <c:v>-2.3631555462084231E-2</c:v>
                </c:pt>
                <c:pt idx="324">
                  <c:v>-2.5016657486941325E-2</c:v>
                </c:pt>
                <c:pt idx="325">
                  <c:v>-2.164787934038246E-2</c:v>
                </c:pt>
                <c:pt idx="326">
                  <c:v>-2.1427784245306551E-2</c:v>
                </c:pt>
                <c:pt idx="327">
                  <c:v>-2.1952794777873989E-2</c:v>
                </c:pt>
                <c:pt idx="328">
                  <c:v>-2.0743906451445426E-2</c:v>
                </c:pt>
                <c:pt idx="329">
                  <c:v>-1.8700902942680873E-2</c:v>
                </c:pt>
                <c:pt idx="330">
                  <c:v>-1.8703901768820693E-2</c:v>
                </c:pt>
                <c:pt idx="331">
                  <c:v>-1.9542061967748152E-2</c:v>
                </c:pt>
                <c:pt idx="332">
                  <c:v>-1.5916630200748155E-2</c:v>
                </c:pt>
                <c:pt idx="333">
                  <c:v>-1.6046126990803176E-2</c:v>
                </c:pt>
                <c:pt idx="334">
                  <c:v>-1.6744101762568131E-2</c:v>
                </c:pt>
                <c:pt idx="335">
                  <c:v>-1.4241157407496118E-2</c:v>
                </c:pt>
                <c:pt idx="336">
                  <c:v>-1.3159014830018717E-2</c:v>
                </c:pt>
                <c:pt idx="337">
                  <c:v>-1.3173400115523601E-2</c:v>
                </c:pt>
                <c:pt idx="338">
                  <c:v>-1.3092698079162272E-2</c:v>
                </c:pt>
                <c:pt idx="339">
                  <c:v>-9.8712571052608084E-3</c:v>
                </c:pt>
                <c:pt idx="340">
                  <c:v>-1.0112072427167978E-2</c:v>
                </c:pt>
                <c:pt idx="341">
                  <c:v>-1.079340832574853E-2</c:v>
                </c:pt>
                <c:pt idx="342">
                  <c:v>-7.4168117724774506E-3</c:v>
                </c:pt>
                <c:pt idx="343">
                  <c:v>-7.1994292629814381E-3</c:v>
                </c:pt>
                <c:pt idx="344">
                  <c:v>-7.2886315179857396E-3</c:v>
                </c:pt>
                <c:pt idx="345">
                  <c:v>-6.0854509769229567E-3</c:v>
                </c:pt>
                <c:pt idx="346">
                  <c:v>-3.7672057054896034E-3</c:v>
                </c:pt>
                <c:pt idx="347">
                  <c:v>-3.95826064868025E-3</c:v>
                </c:pt>
                <c:pt idx="348">
                  <c:v>-4.3406134612835132E-3</c:v>
                </c:pt>
                <c:pt idx="349">
                  <c:v>-7.0278619061161932E-4</c:v>
                </c:pt>
                <c:pt idx="350">
                  <c:v>-1.0829603547100313E-3</c:v>
                </c:pt>
                <c:pt idx="351">
                  <c:v>-1.2718442190008835E-3</c:v>
                </c:pt>
                <c:pt idx="352">
                  <c:v>1.0069974500852531E-3</c:v>
                </c:pt>
                <c:pt idx="353">
                  <c:v>2.1829874704458211E-3</c:v>
                </c:pt>
                <c:pt idx="354">
                  <c:v>2.0962979550191285E-3</c:v>
                </c:pt>
                <c:pt idx="355">
                  <c:v>2.3063529641951007E-3</c:v>
                </c:pt>
                <c:pt idx="356">
                  <c:v>5.5505339663573829E-3</c:v>
                </c:pt>
                <c:pt idx="357">
                  <c:v>4.8996488341938637E-3</c:v>
                </c:pt>
                <c:pt idx="358">
                  <c:v>4.6709078181204622E-3</c:v>
                </c:pt>
                <c:pt idx="359">
                  <c:v>7.7133798490274675E-3</c:v>
                </c:pt>
                <c:pt idx="360">
                  <c:v>7.7891637557487058E-3</c:v>
                </c:pt>
                <c:pt idx="361">
                  <c:v>7.7757321908297908E-3</c:v>
                </c:pt>
                <c:pt idx="362">
                  <c:v>8.780365933556921E-3</c:v>
                </c:pt>
                <c:pt idx="363">
                  <c:v>1.1090776107469469E-2</c:v>
                </c:pt>
                <c:pt idx="364">
                  <c:v>1.0450169125164695E-2</c:v>
                </c:pt>
                <c:pt idx="365">
                  <c:v>1.033199445883037E-2</c:v>
                </c:pt>
                <c:pt idx="366">
                  <c:v>1.3621555162947559E-2</c:v>
                </c:pt>
                <c:pt idx="367">
                  <c:v>1.2865388896523746E-2</c:v>
                </c:pt>
                <c:pt idx="368">
                  <c:v>1.2862698892588021E-2</c:v>
                </c:pt>
                <c:pt idx="369">
                  <c:v>1.4684837157162203E-2</c:v>
                </c:pt>
                <c:pt idx="370">
                  <c:v>1.5756870201353485E-2</c:v>
                </c:pt>
                <c:pt idx="371">
                  <c:v>1.5293957688767255E-2</c:v>
                </c:pt>
                <c:pt idx="372">
                  <c:v>1.5486909689008102E-2</c:v>
                </c:pt>
                <c:pt idx="373">
                  <c:v>1.8423331281997801E-2</c:v>
                </c:pt>
                <c:pt idx="374">
                  <c:v>1.7222909527121674E-2</c:v>
                </c:pt>
                <c:pt idx="375">
                  <c:v>1.7197283587521216E-2</c:v>
                </c:pt>
                <c:pt idx="376">
                  <c:v>1.963918183321877E-2</c:v>
                </c:pt>
                <c:pt idx="377">
                  <c:v>1.9456342548964983E-2</c:v>
                </c:pt>
                <c:pt idx="378">
                  <c:v>1.921031359632764E-2</c:v>
                </c:pt>
                <c:pt idx="379">
                  <c:v>1.9890742224793253E-2</c:v>
                </c:pt>
                <c:pt idx="380">
                  <c:v>2.1936956265717261E-2</c:v>
                </c:pt>
                <c:pt idx="381">
                  <c:v>2.0677792774634357E-2</c:v>
                </c:pt>
                <c:pt idx="382">
                  <c:v>2.0662905237475604E-2</c:v>
                </c:pt>
                <c:pt idx="383">
                  <c:v>2.3329448012844079E-2</c:v>
                </c:pt>
                <c:pt idx="384">
                  <c:v>2.2137498330816824E-2</c:v>
                </c:pt>
                <c:pt idx="385">
                  <c:v>2.2053070775337098E-2</c:v>
                </c:pt>
                <c:pt idx="386">
                  <c:v>2.3291538782249287E-2</c:v>
                </c:pt>
                <c:pt idx="387">
                  <c:v>2.410440834702857E-2</c:v>
                </c:pt>
                <c:pt idx="388">
                  <c:v>2.3070819888842308E-2</c:v>
                </c:pt>
                <c:pt idx="389">
                  <c:v>2.3167156774803358E-2</c:v>
                </c:pt>
                <c:pt idx="390">
                  <c:v>2.5551398948142658E-2</c:v>
                </c:pt>
                <c:pt idx="391">
                  <c:v>2.3767269071535237E-2</c:v>
                </c:pt>
                <c:pt idx="392">
                  <c:v>2.3755873770360762E-2</c:v>
                </c:pt>
                <c:pt idx="393">
                  <c:v>2.5459575082816054E-2</c:v>
                </c:pt>
                <c:pt idx="394">
                  <c:v>2.4967665459872165E-2</c:v>
                </c:pt>
                <c:pt idx="395">
                  <c:v>2.4292468341201232E-2</c:v>
                </c:pt>
                <c:pt idx="396">
                  <c:v>2.4626994779986436E-2</c:v>
                </c:pt>
                <c:pt idx="397">
                  <c:v>2.6235140144206474E-2</c:v>
                </c:pt>
                <c:pt idx="398">
                  <c:v>2.4321915814519993E-2</c:v>
                </c:pt>
                <c:pt idx="399">
                  <c:v>2.4321915814519993E-2</c:v>
                </c:pt>
                <c:pt idx="400">
                  <c:v>2.6225597878223077E-2</c:v>
                </c:pt>
                <c:pt idx="401">
                  <c:v>2.463345396041287E-2</c:v>
                </c:pt>
                <c:pt idx="402">
                  <c:v>2.430390806414072E-2</c:v>
                </c:pt>
                <c:pt idx="403">
                  <c:v>2.4965734942838113E-2</c:v>
                </c:pt>
                <c:pt idx="404">
                  <c:v>2.5445498649165739E-2</c:v>
                </c:pt>
                <c:pt idx="405">
                  <c:v>2.379215304052705E-2</c:v>
                </c:pt>
                <c:pt idx="406">
                  <c:v>2.3803156365739746E-2</c:v>
                </c:pt>
                <c:pt idx="407">
                  <c:v>2.5517320364833E-2</c:v>
                </c:pt>
                <c:pt idx="408">
                  <c:v>2.3238008164892465E-2</c:v>
                </c:pt>
                <c:pt idx="409">
                  <c:v>2.3146370639222275E-2</c:v>
                </c:pt>
                <c:pt idx="410">
                  <c:v>2.412463319453723E-2</c:v>
                </c:pt>
                <c:pt idx="411">
                  <c:v>2.3359115254890168E-2</c:v>
                </c:pt>
                <c:pt idx="412">
                  <c:v>2.2198613756887767E-2</c:v>
                </c:pt>
                <c:pt idx="413">
                  <c:v>2.2277331236151551E-2</c:v>
                </c:pt>
                <c:pt idx="414">
                  <c:v>2.3383115880923788E-2</c:v>
                </c:pt>
                <c:pt idx="415">
                  <c:v>2.0921691780583607E-2</c:v>
                </c:pt>
                <c:pt idx="416">
                  <c:v>2.0935365465791781E-2</c:v>
                </c:pt>
                <c:pt idx="417">
                  <c:v>2.2086084254293332E-2</c:v>
                </c:pt>
                <c:pt idx="418">
                  <c:v>2.0225445711113926E-2</c:v>
                </c:pt>
                <c:pt idx="419">
                  <c:v>1.9609819809168941E-2</c:v>
                </c:pt>
                <c:pt idx="420">
                  <c:v>1.9831304305723826E-2</c:v>
                </c:pt>
                <c:pt idx="421">
                  <c:v>1.9995079778349079E-2</c:v>
                </c:pt>
                <c:pt idx="422">
                  <c:v>1.7818730750860032E-2</c:v>
                </c:pt>
                <c:pt idx="423">
                  <c:v>1.7841455640694386E-2</c:v>
                </c:pt>
                <c:pt idx="424">
                  <c:v>1.8900651306761527E-2</c:v>
                </c:pt>
                <c:pt idx="425">
                  <c:v>1.6322666152352547E-2</c:v>
                </c:pt>
                <c:pt idx="426">
                  <c:v>1.6154115576029752E-2</c:v>
                </c:pt>
                <c:pt idx="427">
                  <c:v>1.6556460096315076E-2</c:v>
                </c:pt>
                <c:pt idx="428">
                  <c:v>1.5629363920569194E-2</c:v>
                </c:pt>
                <c:pt idx="429">
                  <c:v>1.4061477506866212E-2</c:v>
                </c:pt>
                <c:pt idx="430">
                  <c:v>1.4063780549678929E-2</c:v>
                </c:pt>
                <c:pt idx="431">
                  <c:v>1.470792218403974E-2</c:v>
                </c:pt>
                <c:pt idx="432">
                  <c:v>1.1919772580319225E-2</c:v>
                </c:pt>
                <c:pt idx="433">
                  <c:v>1.2019431400315528E-2</c:v>
                </c:pt>
                <c:pt idx="434">
                  <c:v>1.2556952201559744E-2</c:v>
                </c:pt>
                <c:pt idx="435">
                  <c:v>1.0628077652696563E-2</c:v>
                </c:pt>
                <c:pt idx="436">
                  <c:v>9.793564955648754E-3</c:v>
                </c:pt>
                <c:pt idx="437">
                  <c:v>9.8046659293945307E-3</c:v>
                </c:pt>
                <c:pt idx="438">
                  <c:v>9.7423470448239624E-3</c:v>
                </c:pt>
                <c:pt idx="439">
                  <c:v>7.253051746809229E-3</c:v>
                </c:pt>
                <c:pt idx="440">
                  <c:v>7.4392604197578253E-3</c:v>
                </c:pt>
                <c:pt idx="441">
                  <c:v>7.9664479249943777E-3</c:v>
                </c:pt>
                <c:pt idx="442">
                  <c:v>5.3520627832968418E-3</c:v>
                </c:pt>
                <c:pt idx="443">
                  <c:v>5.1836402984621419E-3</c:v>
                </c:pt>
                <c:pt idx="444">
                  <c:v>5.2527971029037021E-3</c:v>
                </c:pt>
                <c:pt idx="445">
                  <c:v>4.3193879836037879E-3</c:v>
                </c:pt>
                <c:pt idx="446">
                  <c:v>2.5197658153996187E-3</c:v>
                </c:pt>
                <c:pt idx="447">
                  <c:v>2.6681745659137873E-3</c:v>
                </c:pt>
                <c:pt idx="448">
                  <c:v>2.9653708500976274E-3</c:v>
                </c:pt>
                <c:pt idx="449">
                  <c:v>1.3594963957504333E-4</c:v>
                </c:pt>
                <c:pt idx="450">
                  <c:v>4.3182798014827453E-4</c:v>
                </c:pt>
                <c:pt idx="451">
                  <c:v>5.7892337888801532E-4</c:v>
                </c:pt>
                <c:pt idx="452">
                  <c:v>-1.1968627341084012E-3</c:v>
                </c:pt>
                <c:pt idx="453">
                  <c:v>-2.113824115622805E-3</c:v>
                </c:pt>
                <c:pt idx="454">
                  <c:v>-2.0461872409492307E-3</c:v>
                </c:pt>
                <c:pt idx="455">
                  <c:v>-2.2101775551306969E-3</c:v>
                </c:pt>
                <c:pt idx="456">
                  <c:v>-4.7444721235594522E-3</c:v>
                </c:pt>
                <c:pt idx="457">
                  <c:v>-4.2357016490735498E-3</c:v>
                </c:pt>
                <c:pt idx="458">
                  <c:v>-4.0567952770248243E-3</c:v>
                </c:pt>
                <c:pt idx="459">
                  <c:v>-6.4378603446912513E-3</c:v>
                </c:pt>
                <c:pt idx="460">
                  <c:v>-6.4972052260933756E-3</c:v>
                </c:pt>
                <c:pt idx="461">
                  <c:v>-6.4866809263084153E-3</c:v>
                </c:pt>
                <c:pt idx="462">
                  <c:v>-7.2743311392889616E-3</c:v>
                </c:pt>
                <c:pt idx="463">
                  <c:v>-9.0868080860651013E-3</c:v>
                </c:pt>
                <c:pt idx="464">
                  <c:v>-8.5839660461915455E-3</c:v>
                </c:pt>
                <c:pt idx="465">
                  <c:v>-8.491150750315252E-3</c:v>
                </c:pt>
                <c:pt idx="466">
                  <c:v>-1.1076308734064774E-2</c:v>
                </c:pt>
                <c:pt idx="467">
                  <c:v>-1.0481716456193019E-2</c:v>
                </c:pt>
                <c:pt idx="468">
                  <c:v>-1.0479600013864056E-2</c:v>
                </c:pt>
                <c:pt idx="469">
                  <c:v>-1.1914049285975632E-2</c:v>
                </c:pt>
                <c:pt idx="470">
                  <c:v>-1.2758474465158194E-2</c:v>
                </c:pt>
                <c:pt idx="471">
                  <c:v>-1.2393636637441925E-2</c:v>
                </c:pt>
                <c:pt idx="472">
                  <c:v>-1.2545795402959539E-2</c:v>
                </c:pt>
                <c:pt idx="473">
                  <c:v>-1.4862718769580006E-2</c:v>
                </c:pt>
                <c:pt idx="474">
                  <c:v>-1.3915017384151495E-2</c:v>
                </c:pt>
                <c:pt idx="475">
                  <c:v>-1.3894775045307424E-2</c:v>
                </c:pt>
                <c:pt idx="476">
                  <c:v>-1.5824744937609322E-2</c:v>
                </c:pt>
                <c:pt idx="477">
                  <c:v>-1.5680156549642579E-2</c:v>
                </c:pt>
                <c:pt idx="478">
                  <c:v>-1.5485490635134077E-2</c:v>
                </c:pt>
                <c:pt idx="479">
                  <c:v>-1.6024163299336095E-2</c:v>
                </c:pt>
                <c:pt idx="480">
                  <c:v>-1.7644969015743705E-2</c:v>
                </c:pt>
                <c:pt idx="481">
                  <c:v>-1.6647042763474659E-2</c:v>
                </c:pt>
                <c:pt idx="482">
                  <c:v>-1.6635237532145873E-2</c:v>
                </c:pt>
                <c:pt idx="483">
                  <c:v>-1.8750841717562163E-2</c:v>
                </c:pt>
                <c:pt idx="484">
                  <c:v>-1.780465485657132E-2</c:v>
                </c:pt>
                <c:pt idx="485">
                  <c:v>-1.7737599226087444E-2</c:v>
                </c:pt>
                <c:pt idx="486">
                  <c:v>-1.8721761687432569E-2</c:v>
                </c:pt>
                <c:pt idx="487">
                  <c:v>-1.9368059620084841E-2</c:v>
                </c:pt>
                <c:pt idx="488">
                  <c:v>-1.8545838944758891E-2</c:v>
                </c:pt>
                <c:pt idx="489">
                  <c:v>-1.8622515241748308E-2</c:v>
                </c:pt>
                <c:pt idx="490">
                  <c:v>-2.0521168377747642E-2</c:v>
                </c:pt>
                <c:pt idx="491">
                  <c:v>-1.9099666524840863E-2</c:v>
                </c:pt>
                <c:pt idx="492">
                  <c:v>-1.9090582643782914E-2</c:v>
                </c:pt>
                <c:pt idx="493">
                  <c:v>-2.0449405148048883E-2</c:v>
                </c:pt>
                <c:pt idx="494">
                  <c:v>-2.0056871206507832E-2</c:v>
                </c:pt>
                <c:pt idx="495">
                  <c:v>-1.951780253918188E-2</c:v>
                </c:pt>
                <c:pt idx="496">
                  <c:v>-1.9785019835354363E-2</c:v>
                </c:pt>
                <c:pt idx="497">
                  <c:v>-2.1070244443706986E-2</c:v>
                </c:pt>
                <c:pt idx="498">
                  <c:v>-1.9540431803336436E-2</c:v>
                </c:pt>
                <c:pt idx="499">
                  <c:v>-1.9540431803336436E-2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84-40D7-8781-FDFDF02D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 terms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Integral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Point Convergence (x=xp vs x=xf)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'Point Convergence'!C1</c:f>
              <c:strCache>
                <c:ptCount val="1"/>
                <c:pt idx="0">
                  <c:v>CumSum (x=x')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'Point Convergence'!$A$2:$A$501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'Point Convergence'!$C$2:$C$501</c:f>
              <c:numCache>
                <c:formatCode>General</c:formatCode>
                <c:ptCount val="500"/>
                <c:pt idx="0">
                  <c:v>1.8443279255020146</c:v>
                </c:pt>
                <c:pt idx="1">
                  <c:v>2.4185486339369429</c:v>
                </c:pt>
                <c:pt idx="2">
                  <c:v>3.2932154003726382</c:v>
                </c:pt>
                <c:pt idx="3">
                  <c:v>4.9306393901213292</c:v>
                </c:pt>
                <c:pt idx="4">
                  <c:v>4.9795828738261756</c:v>
                </c:pt>
                <c:pt idx="5">
                  <c:v>6.9481660349548067</c:v>
                </c:pt>
                <c:pt idx="6">
                  <c:v>7.2636189290261202</c:v>
                </c:pt>
                <c:pt idx="7">
                  <c:v>8.4510002436118405</c:v>
                </c:pt>
                <c:pt idx="8">
                  <c:v>9.8191247962965189</c:v>
                </c:pt>
                <c:pt idx="9">
                  <c:v>10.010107801921571</c:v>
                </c:pt>
                <c:pt idx="10">
                  <c:v>12.008134530349842</c:v>
                </c:pt>
                <c:pt idx="11">
                  <c:v>12.13182785030598</c:v>
                </c:pt>
                <c:pt idx="12">
                  <c:v>13.613581524407692</c:v>
                </c:pt>
                <c:pt idx="13">
                  <c:v>14.676372043937011</c:v>
                </c:pt>
                <c:pt idx="14">
                  <c:v>15.088586791644536</c:v>
                </c:pt>
                <c:pt idx="15">
                  <c:v>17.018363277532789</c:v>
                </c:pt>
                <c:pt idx="16">
                  <c:v>17.0360760268041</c:v>
                </c:pt>
                <c:pt idx="17">
                  <c:v>18.765044654225512</c:v>
                </c:pt>
                <c:pt idx="18">
                  <c:v>19.516354767060662</c:v>
                </c:pt>
                <c:pt idx="19">
                  <c:v>20.207337772685712</c:v>
                </c:pt>
                <c:pt idx="20">
                  <c:v>21.9778510154615</c:v>
                </c:pt>
                <c:pt idx="21">
                  <c:v>21.985736314147022</c:v>
                </c:pt>
                <c:pt idx="22">
                  <c:v>23.890563366613041</c:v>
                </c:pt>
                <c:pt idx="23">
                  <c:v>24.354736571634046</c:v>
                </c:pt>
                <c:pt idx="24">
                  <c:v>25.354736571634039</c:v>
                </c:pt>
                <c:pt idx="25">
                  <c:v>26.890563366613041</c:v>
                </c:pt>
                <c:pt idx="26">
                  <c:v>26.985736314147015</c:v>
                </c:pt>
                <c:pt idx="27">
                  <c:v>28.977851015461493</c:v>
                </c:pt>
                <c:pt idx="28">
                  <c:v>29.207337772685708</c:v>
                </c:pt>
                <c:pt idx="29">
                  <c:v>30.516354767060648</c:v>
                </c:pt>
                <c:pt idx="30">
                  <c:v>31.76504465422552</c:v>
                </c:pt>
                <c:pt idx="31">
                  <c:v>32.036076026804096</c:v>
                </c:pt>
                <c:pt idx="32">
                  <c:v>34.018363277532785</c:v>
                </c:pt>
                <c:pt idx="33">
                  <c:v>34.088586791644538</c:v>
                </c:pt>
                <c:pt idx="34">
                  <c:v>35.676372043937008</c:v>
                </c:pt>
                <c:pt idx="35">
                  <c:v>36.613581524407699</c:v>
                </c:pt>
                <c:pt idx="36">
                  <c:v>37.131827850305974</c:v>
                </c:pt>
                <c:pt idx="37">
                  <c:v>39.008134530349842</c:v>
                </c:pt>
                <c:pt idx="38">
                  <c:v>39.010107801921571</c:v>
                </c:pt>
                <c:pt idx="39">
                  <c:v>40.819124796296514</c:v>
                </c:pt>
                <c:pt idx="40">
                  <c:v>41.451000243611851</c:v>
                </c:pt>
                <c:pt idx="41">
                  <c:v>42.26361892902613</c:v>
                </c:pt>
                <c:pt idx="42">
                  <c:v>43.948166034954824</c:v>
                </c:pt>
                <c:pt idx="43">
                  <c:v>43.979582873826189</c:v>
                </c:pt>
                <c:pt idx="44">
                  <c:v>45.930639390121343</c:v>
                </c:pt>
                <c:pt idx="45">
                  <c:v>46.293215400372667</c:v>
                </c:pt>
                <c:pt idx="46">
                  <c:v>47.418548633936972</c:v>
                </c:pt>
                <c:pt idx="47">
                  <c:v>48.84432792550205</c:v>
                </c:pt>
                <c:pt idx="48">
                  <c:v>49.000000000000021</c:v>
                </c:pt>
                <c:pt idx="49">
                  <c:v>51.000000000000021</c:v>
                </c:pt>
                <c:pt idx="50">
                  <c:v>51.155672074498021</c:v>
                </c:pt>
                <c:pt idx="51">
                  <c:v>52.581451366063085</c:v>
                </c:pt>
                <c:pt idx="52">
                  <c:v>53.706784599627412</c:v>
                </c:pt>
                <c:pt idx="53">
                  <c:v>54.0693606098787</c:v>
                </c:pt>
                <c:pt idx="54">
                  <c:v>56.020417126173861</c:v>
                </c:pt>
                <c:pt idx="55">
                  <c:v>56.051833965045233</c:v>
                </c:pt>
                <c:pt idx="56">
                  <c:v>57.736381070973898</c:v>
                </c:pt>
                <c:pt idx="57">
                  <c:v>58.548999756388191</c:v>
                </c:pt>
                <c:pt idx="58">
                  <c:v>59.180875203703486</c:v>
                </c:pt>
                <c:pt idx="59">
                  <c:v>60.989892198078444</c:v>
                </c:pt>
                <c:pt idx="60">
                  <c:v>60.991865469650172</c:v>
                </c:pt>
                <c:pt idx="61">
                  <c:v>62.868172149694018</c:v>
                </c:pt>
                <c:pt idx="62">
                  <c:v>63.386418475592322</c:v>
                </c:pt>
                <c:pt idx="63">
                  <c:v>64.323627956062978</c:v>
                </c:pt>
                <c:pt idx="64">
                  <c:v>65.911413208355455</c:v>
                </c:pt>
                <c:pt idx="65">
                  <c:v>65.981636722467201</c:v>
                </c:pt>
                <c:pt idx="66">
                  <c:v>67.96392397319589</c:v>
                </c:pt>
                <c:pt idx="67">
                  <c:v>68.234955345774495</c:v>
                </c:pt>
                <c:pt idx="68">
                  <c:v>69.483645232939324</c:v>
                </c:pt>
                <c:pt idx="69">
                  <c:v>70.792662227314281</c:v>
                </c:pt>
                <c:pt idx="70">
                  <c:v>71.022148984538475</c:v>
                </c:pt>
                <c:pt idx="71">
                  <c:v>73.014263685852953</c:v>
                </c:pt>
                <c:pt idx="72">
                  <c:v>73.109436633386935</c:v>
                </c:pt>
                <c:pt idx="73">
                  <c:v>74.645263428365908</c:v>
                </c:pt>
                <c:pt idx="74">
                  <c:v>75.645263428365922</c:v>
                </c:pt>
                <c:pt idx="75">
                  <c:v>76.109436633386906</c:v>
                </c:pt>
                <c:pt idx="76">
                  <c:v>78.014263685852924</c:v>
                </c:pt>
                <c:pt idx="77">
                  <c:v>78.022148984538447</c:v>
                </c:pt>
                <c:pt idx="78">
                  <c:v>79.792662227314224</c:v>
                </c:pt>
                <c:pt idx="79">
                  <c:v>80.483645232939281</c:v>
                </c:pt>
                <c:pt idx="80">
                  <c:v>81.234955345774409</c:v>
                </c:pt>
                <c:pt idx="81">
                  <c:v>82.963923973195847</c:v>
                </c:pt>
                <c:pt idx="82">
                  <c:v>82.981636722467158</c:v>
                </c:pt>
                <c:pt idx="83">
                  <c:v>84.911413208355413</c:v>
                </c:pt>
                <c:pt idx="84">
                  <c:v>85.32362795606295</c:v>
                </c:pt>
                <c:pt idx="85">
                  <c:v>86.386418475592251</c:v>
                </c:pt>
                <c:pt idx="86">
                  <c:v>87.86817214969399</c:v>
                </c:pt>
                <c:pt idx="87">
                  <c:v>87.991865469650108</c:v>
                </c:pt>
                <c:pt idx="88">
                  <c:v>89.98989219807838</c:v>
                </c:pt>
                <c:pt idx="89">
                  <c:v>90.180875203703437</c:v>
                </c:pt>
                <c:pt idx="90">
                  <c:v>91.548999756388099</c:v>
                </c:pt>
                <c:pt idx="91">
                  <c:v>92.736381070973849</c:v>
                </c:pt>
                <c:pt idx="92">
                  <c:v>93.051833965045134</c:v>
                </c:pt>
                <c:pt idx="93">
                  <c:v>95.020417126173768</c:v>
                </c:pt>
                <c:pt idx="94">
                  <c:v>95.069360609878615</c:v>
                </c:pt>
                <c:pt idx="95">
                  <c:v>96.706784599627298</c:v>
                </c:pt>
                <c:pt idx="96">
                  <c:v>97.581451366063021</c:v>
                </c:pt>
                <c:pt idx="97">
                  <c:v>98.155672074497915</c:v>
                </c:pt>
                <c:pt idx="98">
                  <c:v>99.999999999999929</c:v>
                </c:pt>
                <c:pt idx="99">
                  <c:v>99.999999999999929</c:v>
                </c:pt>
                <c:pt idx="100">
                  <c:v>101.84432792550191</c:v>
                </c:pt>
                <c:pt idx="101">
                  <c:v>102.41854863393689</c:v>
                </c:pt>
                <c:pt idx="102">
                  <c:v>103.29321540037253</c:v>
                </c:pt>
                <c:pt idx="103">
                  <c:v>104.93063939012123</c:v>
                </c:pt>
                <c:pt idx="104">
                  <c:v>104.97958287382606</c:v>
                </c:pt>
                <c:pt idx="105">
                  <c:v>106.94816603495468</c:v>
                </c:pt>
                <c:pt idx="106">
                  <c:v>107.26361892902604</c:v>
                </c:pt>
                <c:pt idx="107">
                  <c:v>108.4510002436117</c:v>
                </c:pt>
                <c:pt idx="108">
                  <c:v>109.81912479629645</c:v>
                </c:pt>
                <c:pt idx="109">
                  <c:v>110.01010780192149</c:v>
                </c:pt>
                <c:pt idx="110">
                  <c:v>112.00813453034976</c:v>
                </c:pt>
                <c:pt idx="111">
                  <c:v>112.13182785030592</c:v>
                </c:pt>
                <c:pt idx="112">
                  <c:v>113.61358152440758</c:v>
                </c:pt>
                <c:pt idx="113">
                  <c:v>114.67637204393696</c:v>
                </c:pt>
                <c:pt idx="114">
                  <c:v>115.08858679164447</c:v>
                </c:pt>
                <c:pt idx="115">
                  <c:v>117.01836327753274</c:v>
                </c:pt>
                <c:pt idx="116">
                  <c:v>117.03607602680407</c:v>
                </c:pt>
                <c:pt idx="117">
                  <c:v>118.76504465422543</c:v>
                </c:pt>
                <c:pt idx="118">
                  <c:v>119.51635476706065</c:v>
                </c:pt>
                <c:pt idx="119">
                  <c:v>120.20733777268568</c:v>
                </c:pt>
                <c:pt idx="120">
                  <c:v>121.97785101546148</c:v>
                </c:pt>
                <c:pt idx="121">
                  <c:v>121.985736314147</c:v>
                </c:pt>
                <c:pt idx="122">
                  <c:v>123.89056336661299</c:v>
                </c:pt>
                <c:pt idx="123">
                  <c:v>124.35473657163406</c:v>
                </c:pt>
                <c:pt idx="124">
                  <c:v>125.35473657163404</c:v>
                </c:pt>
                <c:pt idx="125">
                  <c:v>126.89056336661307</c:v>
                </c:pt>
                <c:pt idx="126">
                  <c:v>126.98573631414702</c:v>
                </c:pt>
                <c:pt idx="127">
                  <c:v>128.97785101546148</c:v>
                </c:pt>
                <c:pt idx="128">
                  <c:v>129.20733777268575</c:v>
                </c:pt>
                <c:pt idx="129">
                  <c:v>130.51635476706068</c:v>
                </c:pt>
                <c:pt idx="130">
                  <c:v>131.76504465422556</c:v>
                </c:pt>
                <c:pt idx="131">
                  <c:v>132.03607602680412</c:v>
                </c:pt>
                <c:pt idx="132">
                  <c:v>134.01836327753281</c:v>
                </c:pt>
                <c:pt idx="133">
                  <c:v>134.08858679164459</c:v>
                </c:pt>
                <c:pt idx="134">
                  <c:v>135.67637204393705</c:v>
                </c:pt>
                <c:pt idx="135">
                  <c:v>136.61358152440778</c:v>
                </c:pt>
                <c:pt idx="136">
                  <c:v>137.13182785030602</c:v>
                </c:pt>
                <c:pt idx="137">
                  <c:v>139.00813453034991</c:v>
                </c:pt>
                <c:pt idx="138">
                  <c:v>139.01010780192163</c:v>
                </c:pt>
                <c:pt idx="139">
                  <c:v>140.81912479629656</c:v>
                </c:pt>
                <c:pt idx="140">
                  <c:v>141.45100024361193</c:v>
                </c:pt>
                <c:pt idx="141">
                  <c:v>142.26361892902617</c:v>
                </c:pt>
                <c:pt idx="142">
                  <c:v>143.94816603495488</c:v>
                </c:pt>
                <c:pt idx="143">
                  <c:v>143.97958287382625</c:v>
                </c:pt>
                <c:pt idx="144">
                  <c:v>145.9306393901214</c:v>
                </c:pt>
                <c:pt idx="145">
                  <c:v>146.29321540037273</c:v>
                </c:pt>
                <c:pt idx="146">
                  <c:v>147.41854863393701</c:v>
                </c:pt>
                <c:pt idx="147">
                  <c:v>148.84432792550211</c:v>
                </c:pt>
                <c:pt idx="148">
                  <c:v>149.00000000000009</c:v>
                </c:pt>
                <c:pt idx="149">
                  <c:v>151.00000000000009</c:v>
                </c:pt>
                <c:pt idx="150">
                  <c:v>151.15567207449809</c:v>
                </c:pt>
                <c:pt idx="151">
                  <c:v>152.58145136606311</c:v>
                </c:pt>
                <c:pt idx="152">
                  <c:v>153.70678459962747</c:v>
                </c:pt>
                <c:pt idx="153">
                  <c:v>154.06936060987877</c:v>
                </c:pt>
                <c:pt idx="154">
                  <c:v>156.02041712617392</c:v>
                </c:pt>
                <c:pt idx="155">
                  <c:v>156.05183396504529</c:v>
                </c:pt>
                <c:pt idx="156">
                  <c:v>157.73638107097395</c:v>
                </c:pt>
                <c:pt idx="157">
                  <c:v>158.54899975638827</c:v>
                </c:pt>
                <c:pt idx="158">
                  <c:v>159.18087520370358</c:v>
                </c:pt>
                <c:pt idx="159">
                  <c:v>160.98989219807854</c:v>
                </c:pt>
                <c:pt idx="160">
                  <c:v>160.99186546965026</c:v>
                </c:pt>
                <c:pt idx="161">
                  <c:v>162.86817214969412</c:v>
                </c:pt>
                <c:pt idx="162">
                  <c:v>163.38641847559245</c:v>
                </c:pt>
                <c:pt idx="163">
                  <c:v>164.32362795606306</c:v>
                </c:pt>
                <c:pt idx="164">
                  <c:v>165.91141320835558</c:v>
                </c:pt>
                <c:pt idx="165">
                  <c:v>165.98163672246733</c:v>
                </c:pt>
                <c:pt idx="166">
                  <c:v>167.96392397319602</c:v>
                </c:pt>
                <c:pt idx="167">
                  <c:v>168.23495534577461</c:v>
                </c:pt>
                <c:pt idx="168">
                  <c:v>169.48364523293947</c:v>
                </c:pt>
                <c:pt idx="169">
                  <c:v>170.79266222731442</c:v>
                </c:pt>
                <c:pt idx="170">
                  <c:v>171.02214898453863</c:v>
                </c:pt>
                <c:pt idx="171">
                  <c:v>173.01426368585311</c:v>
                </c:pt>
                <c:pt idx="172">
                  <c:v>173.10943663338711</c:v>
                </c:pt>
                <c:pt idx="173">
                  <c:v>174.64526342836606</c:v>
                </c:pt>
                <c:pt idx="174">
                  <c:v>175.64526342836612</c:v>
                </c:pt>
                <c:pt idx="175">
                  <c:v>176.10943663338705</c:v>
                </c:pt>
                <c:pt idx="176">
                  <c:v>178.01426368585308</c:v>
                </c:pt>
                <c:pt idx="177">
                  <c:v>178.0221489845386</c:v>
                </c:pt>
                <c:pt idx="178">
                  <c:v>179.79266222731439</c:v>
                </c:pt>
                <c:pt idx="179">
                  <c:v>180.48364523293947</c:v>
                </c:pt>
                <c:pt idx="180">
                  <c:v>181.23495534577458</c:v>
                </c:pt>
                <c:pt idx="181">
                  <c:v>182.96392397319602</c:v>
                </c:pt>
                <c:pt idx="182">
                  <c:v>182.98163672246733</c:v>
                </c:pt>
                <c:pt idx="183">
                  <c:v>184.91141320835555</c:v>
                </c:pt>
                <c:pt idx="184">
                  <c:v>185.32362795606315</c:v>
                </c:pt>
                <c:pt idx="185">
                  <c:v>186.38641847559239</c:v>
                </c:pt>
                <c:pt idx="186">
                  <c:v>187.86817214969415</c:v>
                </c:pt>
                <c:pt idx="187">
                  <c:v>187.99186546965029</c:v>
                </c:pt>
                <c:pt idx="188">
                  <c:v>189.98989219807856</c:v>
                </c:pt>
                <c:pt idx="189">
                  <c:v>190.18087520370364</c:v>
                </c:pt>
                <c:pt idx="190">
                  <c:v>191.5489997563883</c:v>
                </c:pt>
                <c:pt idx="191">
                  <c:v>192.73638107097406</c:v>
                </c:pt>
                <c:pt idx="192">
                  <c:v>193.05183396504535</c:v>
                </c:pt>
                <c:pt idx="193">
                  <c:v>195.02041712617398</c:v>
                </c:pt>
                <c:pt idx="194">
                  <c:v>195.06936060987886</c:v>
                </c:pt>
                <c:pt idx="195">
                  <c:v>196.7067845996275</c:v>
                </c:pt>
                <c:pt idx="196">
                  <c:v>197.58145136606328</c:v>
                </c:pt>
                <c:pt idx="197">
                  <c:v>198.15567207449823</c:v>
                </c:pt>
                <c:pt idx="198">
                  <c:v>200.00000000000028</c:v>
                </c:pt>
                <c:pt idx="199">
                  <c:v>200.00000000000028</c:v>
                </c:pt>
                <c:pt idx="200">
                  <c:v>201.84432792550226</c:v>
                </c:pt>
                <c:pt idx="201">
                  <c:v>202.41854863393726</c:v>
                </c:pt>
                <c:pt idx="202">
                  <c:v>203.29321540037287</c:v>
                </c:pt>
                <c:pt idx="203">
                  <c:v>204.93063939012166</c:v>
                </c:pt>
                <c:pt idx="204">
                  <c:v>204.97958287382647</c:v>
                </c:pt>
                <c:pt idx="205">
                  <c:v>206.94816603495508</c:v>
                </c:pt>
                <c:pt idx="206">
                  <c:v>207.26361892902651</c:v>
                </c:pt>
                <c:pt idx="207">
                  <c:v>208.45100024361219</c:v>
                </c:pt>
                <c:pt idx="208">
                  <c:v>209.8191247962969</c:v>
                </c:pt>
                <c:pt idx="209">
                  <c:v>210.01010780192192</c:v>
                </c:pt>
                <c:pt idx="210">
                  <c:v>212.00813453035019</c:v>
                </c:pt>
                <c:pt idx="211">
                  <c:v>212.13182785030637</c:v>
                </c:pt>
                <c:pt idx="212">
                  <c:v>213.613581524408</c:v>
                </c:pt>
                <c:pt idx="213">
                  <c:v>214.67637204393742</c:v>
                </c:pt>
                <c:pt idx="214">
                  <c:v>215.08858679164484</c:v>
                </c:pt>
                <c:pt idx="215">
                  <c:v>217.01836327753315</c:v>
                </c:pt>
                <c:pt idx="216">
                  <c:v>217.03607602680449</c:v>
                </c:pt>
                <c:pt idx="217">
                  <c:v>218.76504465422579</c:v>
                </c:pt>
                <c:pt idx="218">
                  <c:v>219.51635476706099</c:v>
                </c:pt>
                <c:pt idx="219">
                  <c:v>220.20733777268597</c:v>
                </c:pt>
                <c:pt idx="220">
                  <c:v>221.97785101546179</c:v>
                </c:pt>
                <c:pt idx="221">
                  <c:v>221.98573631414732</c:v>
                </c:pt>
                <c:pt idx="222">
                  <c:v>223.89056336661329</c:v>
                </c:pt>
                <c:pt idx="223">
                  <c:v>224.35473657163439</c:v>
                </c:pt>
                <c:pt idx="224">
                  <c:v>225.35473657163428</c:v>
                </c:pt>
                <c:pt idx="225">
                  <c:v>226.89056336661338</c:v>
                </c:pt>
                <c:pt idx="226">
                  <c:v>226.98573631414729</c:v>
                </c:pt>
                <c:pt idx="227">
                  <c:v>228.97785101546174</c:v>
                </c:pt>
                <c:pt idx="228">
                  <c:v>229.20733777268606</c:v>
                </c:pt>
                <c:pt idx="229">
                  <c:v>230.51635476706096</c:v>
                </c:pt>
                <c:pt idx="230">
                  <c:v>231.76504465422587</c:v>
                </c:pt>
                <c:pt idx="231">
                  <c:v>232.03607602680441</c:v>
                </c:pt>
                <c:pt idx="232">
                  <c:v>234.01836327753313</c:v>
                </c:pt>
                <c:pt idx="233">
                  <c:v>234.0885867916449</c:v>
                </c:pt>
                <c:pt idx="234">
                  <c:v>235.67637204393728</c:v>
                </c:pt>
                <c:pt idx="235">
                  <c:v>236.61358152440809</c:v>
                </c:pt>
                <c:pt idx="236">
                  <c:v>237.13182785030625</c:v>
                </c:pt>
                <c:pt idx="237">
                  <c:v>239.00813453035019</c:v>
                </c:pt>
                <c:pt idx="238">
                  <c:v>239.01010780192192</c:v>
                </c:pt>
                <c:pt idx="239">
                  <c:v>240.81912479629685</c:v>
                </c:pt>
                <c:pt idx="240">
                  <c:v>241.45100024361224</c:v>
                </c:pt>
                <c:pt idx="241">
                  <c:v>242.26361892902645</c:v>
                </c:pt>
                <c:pt idx="242">
                  <c:v>243.94816603495519</c:v>
                </c:pt>
                <c:pt idx="243">
                  <c:v>243.97958287382653</c:v>
                </c:pt>
                <c:pt idx="244">
                  <c:v>245.93063939012166</c:v>
                </c:pt>
                <c:pt idx="245">
                  <c:v>246.29321540037304</c:v>
                </c:pt>
                <c:pt idx="246">
                  <c:v>247.41854863393721</c:v>
                </c:pt>
                <c:pt idx="247">
                  <c:v>248.8443279255024</c:v>
                </c:pt>
                <c:pt idx="248">
                  <c:v>249.00000000000037</c:v>
                </c:pt>
                <c:pt idx="249">
                  <c:v>251.00000000000037</c:v>
                </c:pt>
                <c:pt idx="250">
                  <c:v>251.1556720744984</c:v>
                </c:pt>
                <c:pt idx="251">
                  <c:v>252.58145136606342</c:v>
                </c:pt>
                <c:pt idx="252">
                  <c:v>253.70678459962781</c:v>
                </c:pt>
                <c:pt idx="253">
                  <c:v>254.06936060987906</c:v>
                </c:pt>
                <c:pt idx="254">
                  <c:v>256.02041712617427</c:v>
                </c:pt>
                <c:pt idx="255">
                  <c:v>256.05183396504566</c:v>
                </c:pt>
                <c:pt idx="256">
                  <c:v>257.73638107097423</c:v>
                </c:pt>
                <c:pt idx="257">
                  <c:v>258.54899975638864</c:v>
                </c:pt>
                <c:pt idx="258">
                  <c:v>259.18087520370392</c:v>
                </c:pt>
                <c:pt idx="259">
                  <c:v>260.98989219807891</c:v>
                </c:pt>
                <c:pt idx="260">
                  <c:v>260.99186546965063</c:v>
                </c:pt>
                <c:pt idx="261">
                  <c:v>262.86817214969449</c:v>
                </c:pt>
                <c:pt idx="262">
                  <c:v>263.38641847559285</c:v>
                </c:pt>
                <c:pt idx="263">
                  <c:v>264.32362795606343</c:v>
                </c:pt>
                <c:pt idx="264">
                  <c:v>265.91141320835601</c:v>
                </c:pt>
                <c:pt idx="265">
                  <c:v>265.98163672246773</c:v>
                </c:pt>
                <c:pt idx="266">
                  <c:v>267.96392397319642</c:v>
                </c:pt>
                <c:pt idx="267">
                  <c:v>268.23495534577512</c:v>
                </c:pt>
                <c:pt idx="268">
                  <c:v>269.48364523293992</c:v>
                </c:pt>
                <c:pt idx="269">
                  <c:v>270.79266222731491</c:v>
                </c:pt>
                <c:pt idx="270">
                  <c:v>271.02214898453906</c:v>
                </c:pt>
                <c:pt idx="271">
                  <c:v>273.01426368585356</c:v>
                </c:pt>
                <c:pt idx="272">
                  <c:v>273.10943663338759</c:v>
                </c:pt>
                <c:pt idx="273">
                  <c:v>274.64526342836649</c:v>
                </c:pt>
                <c:pt idx="274">
                  <c:v>275.6452634283666</c:v>
                </c:pt>
                <c:pt idx="275">
                  <c:v>276.10943663338753</c:v>
                </c:pt>
                <c:pt idx="276">
                  <c:v>278.01426368585362</c:v>
                </c:pt>
                <c:pt idx="277">
                  <c:v>278.02214898453917</c:v>
                </c:pt>
                <c:pt idx="278">
                  <c:v>279.79266222731496</c:v>
                </c:pt>
                <c:pt idx="279">
                  <c:v>280.48364523294003</c:v>
                </c:pt>
                <c:pt idx="280">
                  <c:v>281.23495534577512</c:v>
                </c:pt>
                <c:pt idx="281">
                  <c:v>282.96392397319659</c:v>
                </c:pt>
                <c:pt idx="282">
                  <c:v>282.9816367224679</c:v>
                </c:pt>
                <c:pt idx="283">
                  <c:v>284.91141320835612</c:v>
                </c:pt>
                <c:pt idx="284">
                  <c:v>285.32362795606372</c:v>
                </c:pt>
                <c:pt idx="285">
                  <c:v>286.3864184755929</c:v>
                </c:pt>
                <c:pt idx="286">
                  <c:v>287.86817214969471</c:v>
                </c:pt>
                <c:pt idx="287">
                  <c:v>287.99186546965086</c:v>
                </c:pt>
                <c:pt idx="288">
                  <c:v>289.98989219807913</c:v>
                </c:pt>
                <c:pt idx="289">
                  <c:v>290.1808752037042</c:v>
                </c:pt>
                <c:pt idx="290">
                  <c:v>291.54899975638881</c:v>
                </c:pt>
                <c:pt idx="291">
                  <c:v>292.73638107097457</c:v>
                </c:pt>
                <c:pt idx="292">
                  <c:v>293.05183396504583</c:v>
                </c:pt>
                <c:pt idx="293">
                  <c:v>295.02041712617449</c:v>
                </c:pt>
                <c:pt idx="294">
                  <c:v>295.06936060987937</c:v>
                </c:pt>
                <c:pt idx="295">
                  <c:v>296.70678459962795</c:v>
                </c:pt>
                <c:pt idx="296">
                  <c:v>297.58145136606379</c:v>
                </c:pt>
                <c:pt idx="297">
                  <c:v>298.15567207449868</c:v>
                </c:pt>
                <c:pt idx="298">
                  <c:v>300.00000000000074</c:v>
                </c:pt>
                <c:pt idx="299">
                  <c:v>300.00000000000074</c:v>
                </c:pt>
                <c:pt idx="300">
                  <c:v>301.84432792550274</c:v>
                </c:pt>
                <c:pt idx="301">
                  <c:v>302.41854863393775</c:v>
                </c:pt>
                <c:pt idx="302">
                  <c:v>303.29321540037336</c:v>
                </c:pt>
                <c:pt idx="303">
                  <c:v>304.93063939012211</c:v>
                </c:pt>
                <c:pt idx="304">
                  <c:v>304.97958287382693</c:v>
                </c:pt>
                <c:pt idx="305">
                  <c:v>306.94816603495553</c:v>
                </c:pt>
                <c:pt idx="306">
                  <c:v>307.26361892902685</c:v>
                </c:pt>
                <c:pt idx="307">
                  <c:v>308.45100024361255</c:v>
                </c:pt>
                <c:pt idx="308">
                  <c:v>309.81912479629727</c:v>
                </c:pt>
                <c:pt idx="309">
                  <c:v>310.01010780192229</c:v>
                </c:pt>
                <c:pt idx="310">
                  <c:v>312.00813453035056</c:v>
                </c:pt>
                <c:pt idx="311">
                  <c:v>312.13182785030671</c:v>
                </c:pt>
                <c:pt idx="312">
                  <c:v>313.61358152440835</c:v>
                </c:pt>
                <c:pt idx="313">
                  <c:v>314.67637204393776</c:v>
                </c:pt>
                <c:pt idx="314">
                  <c:v>315.08858679164524</c:v>
                </c:pt>
                <c:pt idx="315">
                  <c:v>317.01836327753352</c:v>
                </c:pt>
                <c:pt idx="316">
                  <c:v>317.03607602680484</c:v>
                </c:pt>
                <c:pt idx="317">
                  <c:v>318.76504465422624</c:v>
                </c:pt>
                <c:pt idx="318">
                  <c:v>319.51635476706139</c:v>
                </c:pt>
                <c:pt idx="319">
                  <c:v>320.2073377726864</c:v>
                </c:pt>
                <c:pt idx="320">
                  <c:v>321.97785101546219</c:v>
                </c:pt>
                <c:pt idx="321">
                  <c:v>321.98573631414769</c:v>
                </c:pt>
                <c:pt idx="322">
                  <c:v>323.89056336661366</c:v>
                </c:pt>
                <c:pt idx="323">
                  <c:v>324.3547365716347</c:v>
                </c:pt>
                <c:pt idx="324">
                  <c:v>325.35473657163459</c:v>
                </c:pt>
                <c:pt idx="325">
                  <c:v>326.89056336661366</c:v>
                </c:pt>
                <c:pt idx="326">
                  <c:v>326.98573631414763</c:v>
                </c:pt>
                <c:pt idx="327">
                  <c:v>328.97785101546208</c:v>
                </c:pt>
                <c:pt idx="328">
                  <c:v>329.20733777268629</c:v>
                </c:pt>
                <c:pt idx="329">
                  <c:v>330.5163547670611</c:v>
                </c:pt>
                <c:pt idx="330">
                  <c:v>331.76504465422602</c:v>
                </c:pt>
                <c:pt idx="331">
                  <c:v>332.03607602680455</c:v>
                </c:pt>
                <c:pt idx="332">
                  <c:v>334.01836327753324</c:v>
                </c:pt>
                <c:pt idx="333">
                  <c:v>334.08858679164501</c:v>
                </c:pt>
                <c:pt idx="334">
                  <c:v>335.67637204393742</c:v>
                </c:pt>
                <c:pt idx="335">
                  <c:v>336.61358152440806</c:v>
                </c:pt>
                <c:pt idx="336">
                  <c:v>337.13182785030625</c:v>
                </c:pt>
                <c:pt idx="337">
                  <c:v>339.00813453035011</c:v>
                </c:pt>
                <c:pt idx="338">
                  <c:v>339.01010780192183</c:v>
                </c:pt>
                <c:pt idx="339">
                  <c:v>340.81912479629676</c:v>
                </c:pt>
                <c:pt idx="340">
                  <c:v>341.45100024361221</c:v>
                </c:pt>
                <c:pt idx="341">
                  <c:v>342.26361892902645</c:v>
                </c:pt>
                <c:pt idx="342">
                  <c:v>343.94816603495519</c:v>
                </c:pt>
                <c:pt idx="343">
                  <c:v>343.97958287382653</c:v>
                </c:pt>
                <c:pt idx="344">
                  <c:v>345.93063939012166</c:v>
                </c:pt>
                <c:pt idx="345">
                  <c:v>346.29321540037301</c:v>
                </c:pt>
                <c:pt idx="346">
                  <c:v>347.41854863393735</c:v>
                </c:pt>
                <c:pt idx="347">
                  <c:v>348.84432792550251</c:v>
                </c:pt>
                <c:pt idx="348">
                  <c:v>349.00000000000051</c:v>
                </c:pt>
                <c:pt idx="349">
                  <c:v>351.00000000000051</c:v>
                </c:pt>
                <c:pt idx="350">
                  <c:v>351.15567207449851</c:v>
                </c:pt>
                <c:pt idx="351">
                  <c:v>352.58145136606345</c:v>
                </c:pt>
                <c:pt idx="352">
                  <c:v>353.70678459962778</c:v>
                </c:pt>
                <c:pt idx="353">
                  <c:v>354.06936060987903</c:v>
                </c:pt>
                <c:pt idx="354">
                  <c:v>356.02041712617421</c:v>
                </c:pt>
                <c:pt idx="355">
                  <c:v>356.05183396504555</c:v>
                </c:pt>
                <c:pt idx="356">
                  <c:v>357.73638107097418</c:v>
                </c:pt>
                <c:pt idx="357">
                  <c:v>358.54899975638847</c:v>
                </c:pt>
                <c:pt idx="358">
                  <c:v>359.18087520370369</c:v>
                </c:pt>
                <c:pt idx="359">
                  <c:v>360.98989219807868</c:v>
                </c:pt>
                <c:pt idx="360">
                  <c:v>360.99186546965041</c:v>
                </c:pt>
                <c:pt idx="361">
                  <c:v>362.86817214969426</c:v>
                </c:pt>
                <c:pt idx="362">
                  <c:v>363.38641847559262</c:v>
                </c:pt>
                <c:pt idx="363">
                  <c:v>364.32362795606326</c:v>
                </c:pt>
                <c:pt idx="364">
                  <c:v>365.91141320835573</c:v>
                </c:pt>
                <c:pt idx="365">
                  <c:v>365.98163672246744</c:v>
                </c:pt>
                <c:pt idx="366">
                  <c:v>367.96392397319613</c:v>
                </c:pt>
                <c:pt idx="367">
                  <c:v>368.23495534577478</c:v>
                </c:pt>
                <c:pt idx="368">
                  <c:v>369.48364523293964</c:v>
                </c:pt>
                <c:pt idx="369">
                  <c:v>370.79266222731474</c:v>
                </c:pt>
                <c:pt idx="370">
                  <c:v>371.02214898453894</c:v>
                </c:pt>
                <c:pt idx="371">
                  <c:v>373.01426368585345</c:v>
                </c:pt>
                <c:pt idx="372">
                  <c:v>373.10943663338747</c:v>
                </c:pt>
                <c:pt idx="373">
                  <c:v>374.64526342836643</c:v>
                </c:pt>
                <c:pt idx="374">
                  <c:v>375.64526342836649</c:v>
                </c:pt>
                <c:pt idx="375">
                  <c:v>376.10943663338753</c:v>
                </c:pt>
                <c:pt idx="376">
                  <c:v>378.01426368585362</c:v>
                </c:pt>
                <c:pt idx="377">
                  <c:v>378.02214898453911</c:v>
                </c:pt>
                <c:pt idx="378">
                  <c:v>379.79266222731485</c:v>
                </c:pt>
                <c:pt idx="379">
                  <c:v>380.48364523293992</c:v>
                </c:pt>
                <c:pt idx="380">
                  <c:v>381.23495534577495</c:v>
                </c:pt>
                <c:pt idx="381">
                  <c:v>382.96392397319642</c:v>
                </c:pt>
                <c:pt idx="382">
                  <c:v>382.98163672246767</c:v>
                </c:pt>
                <c:pt idx="383">
                  <c:v>384.9114132083559</c:v>
                </c:pt>
                <c:pt idx="384">
                  <c:v>385.32362795606338</c:v>
                </c:pt>
                <c:pt idx="385">
                  <c:v>386.38641847559262</c:v>
                </c:pt>
                <c:pt idx="386">
                  <c:v>387.86817214969432</c:v>
                </c:pt>
                <c:pt idx="387">
                  <c:v>387.99186546965041</c:v>
                </c:pt>
                <c:pt idx="388">
                  <c:v>389.98989219807868</c:v>
                </c:pt>
                <c:pt idx="389">
                  <c:v>390.18087520370381</c:v>
                </c:pt>
                <c:pt idx="390">
                  <c:v>391.54899975638847</c:v>
                </c:pt>
                <c:pt idx="391">
                  <c:v>392.73638107097435</c:v>
                </c:pt>
                <c:pt idx="392">
                  <c:v>393.0518339650456</c:v>
                </c:pt>
                <c:pt idx="393">
                  <c:v>395.02041712617427</c:v>
                </c:pt>
                <c:pt idx="394">
                  <c:v>395.06936060987914</c:v>
                </c:pt>
                <c:pt idx="395">
                  <c:v>396.70678459962784</c:v>
                </c:pt>
                <c:pt idx="396">
                  <c:v>397.58145136606362</c:v>
                </c:pt>
                <c:pt idx="397">
                  <c:v>398.15567207449845</c:v>
                </c:pt>
                <c:pt idx="398">
                  <c:v>400.00000000000051</c:v>
                </c:pt>
                <c:pt idx="399">
                  <c:v>400.00000000000051</c:v>
                </c:pt>
                <c:pt idx="400">
                  <c:v>401.84432792550245</c:v>
                </c:pt>
                <c:pt idx="401">
                  <c:v>402.41854863393752</c:v>
                </c:pt>
                <c:pt idx="402">
                  <c:v>403.29321540037307</c:v>
                </c:pt>
                <c:pt idx="403">
                  <c:v>404.93063939012188</c:v>
                </c:pt>
                <c:pt idx="404">
                  <c:v>404.9795828738267</c:v>
                </c:pt>
                <c:pt idx="405">
                  <c:v>406.94816603495531</c:v>
                </c:pt>
                <c:pt idx="406">
                  <c:v>407.26361892902662</c:v>
                </c:pt>
                <c:pt idx="407">
                  <c:v>408.45100024361216</c:v>
                </c:pt>
                <c:pt idx="408">
                  <c:v>409.81912479629682</c:v>
                </c:pt>
                <c:pt idx="409">
                  <c:v>410.01010780192172</c:v>
                </c:pt>
                <c:pt idx="410">
                  <c:v>412.00813453034999</c:v>
                </c:pt>
                <c:pt idx="411">
                  <c:v>412.13182785030625</c:v>
                </c:pt>
                <c:pt idx="412">
                  <c:v>413.61358152440795</c:v>
                </c:pt>
                <c:pt idx="413">
                  <c:v>414.67637204393753</c:v>
                </c:pt>
                <c:pt idx="414">
                  <c:v>415.08858679164501</c:v>
                </c:pt>
                <c:pt idx="415">
                  <c:v>417.0183632775333</c:v>
                </c:pt>
                <c:pt idx="416">
                  <c:v>417.03607602680461</c:v>
                </c:pt>
                <c:pt idx="417">
                  <c:v>418.76504465422596</c:v>
                </c:pt>
                <c:pt idx="418">
                  <c:v>419.51635476706122</c:v>
                </c:pt>
                <c:pt idx="419">
                  <c:v>420.20733777268617</c:v>
                </c:pt>
                <c:pt idx="420">
                  <c:v>421.97785101546202</c:v>
                </c:pt>
                <c:pt idx="421">
                  <c:v>421.98573631414752</c:v>
                </c:pt>
                <c:pt idx="422">
                  <c:v>423.89056336661349</c:v>
                </c:pt>
                <c:pt idx="423">
                  <c:v>424.35473657163465</c:v>
                </c:pt>
                <c:pt idx="424">
                  <c:v>425.35473657163448</c:v>
                </c:pt>
                <c:pt idx="425">
                  <c:v>426.89056336661361</c:v>
                </c:pt>
                <c:pt idx="426">
                  <c:v>426.98573631414757</c:v>
                </c:pt>
                <c:pt idx="427">
                  <c:v>428.97785101546202</c:v>
                </c:pt>
                <c:pt idx="428">
                  <c:v>429.20733777268623</c:v>
                </c:pt>
                <c:pt idx="429">
                  <c:v>430.51635476706093</c:v>
                </c:pt>
                <c:pt idx="430">
                  <c:v>431.76504465422579</c:v>
                </c:pt>
                <c:pt idx="431">
                  <c:v>432.03607602680421</c:v>
                </c:pt>
                <c:pt idx="432">
                  <c:v>434.0183632775329</c:v>
                </c:pt>
                <c:pt idx="433">
                  <c:v>434.08858679164473</c:v>
                </c:pt>
                <c:pt idx="434">
                  <c:v>435.67637204393714</c:v>
                </c:pt>
                <c:pt idx="435">
                  <c:v>436.61358152440812</c:v>
                </c:pt>
                <c:pt idx="436">
                  <c:v>437.13182785030631</c:v>
                </c:pt>
                <c:pt idx="437">
                  <c:v>439.00813453035022</c:v>
                </c:pt>
                <c:pt idx="438">
                  <c:v>439.01010780192195</c:v>
                </c:pt>
                <c:pt idx="439">
                  <c:v>440.81912479629682</c:v>
                </c:pt>
                <c:pt idx="440">
                  <c:v>441.45100024361227</c:v>
                </c:pt>
                <c:pt idx="441">
                  <c:v>442.26361892902639</c:v>
                </c:pt>
                <c:pt idx="442">
                  <c:v>443.94816603495519</c:v>
                </c:pt>
                <c:pt idx="443">
                  <c:v>443.97958287382653</c:v>
                </c:pt>
                <c:pt idx="444">
                  <c:v>445.93063939012166</c:v>
                </c:pt>
                <c:pt idx="445">
                  <c:v>446.29321540037313</c:v>
                </c:pt>
                <c:pt idx="446">
                  <c:v>447.41854863393723</c:v>
                </c:pt>
                <c:pt idx="447">
                  <c:v>448.84432792550251</c:v>
                </c:pt>
                <c:pt idx="448">
                  <c:v>449.00000000000051</c:v>
                </c:pt>
                <c:pt idx="449">
                  <c:v>451.00000000000051</c:v>
                </c:pt>
                <c:pt idx="450">
                  <c:v>451.15567207449851</c:v>
                </c:pt>
                <c:pt idx="451">
                  <c:v>452.58145136606333</c:v>
                </c:pt>
                <c:pt idx="452">
                  <c:v>453.70678459962767</c:v>
                </c:pt>
                <c:pt idx="453">
                  <c:v>454.06936060987874</c:v>
                </c:pt>
                <c:pt idx="454">
                  <c:v>456.02041712617392</c:v>
                </c:pt>
                <c:pt idx="455">
                  <c:v>456.05183396504538</c:v>
                </c:pt>
                <c:pt idx="456">
                  <c:v>457.73638107097401</c:v>
                </c:pt>
                <c:pt idx="457">
                  <c:v>458.54899975638858</c:v>
                </c:pt>
                <c:pt idx="458">
                  <c:v>459.18087520370381</c:v>
                </c:pt>
                <c:pt idx="459">
                  <c:v>460.98989219807879</c:v>
                </c:pt>
                <c:pt idx="460">
                  <c:v>460.99186546965052</c:v>
                </c:pt>
                <c:pt idx="461">
                  <c:v>462.86817214969432</c:v>
                </c:pt>
                <c:pt idx="462">
                  <c:v>463.38641847559273</c:v>
                </c:pt>
                <c:pt idx="463">
                  <c:v>464.32362795606326</c:v>
                </c:pt>
                <c:pt idx="464">
                  <c:v>465.9114132083559</c:v>
                </c:pt>
                <c:pt idx="465">
                  <c:v>465.98163672246756</c:v>
                </c:pt>
                <c:pt idx="466">
                  <c:v>467.96392397319619</c:v>
                </c:pt>
                <c:pt idx="467">
                  <c:v>468.23495534577489</c:v>
                </c:pt>
                <c:pt idx="468">
                  <c:v>469.48364523293952</c:v>
                </c:pt>
                <c:pt idx="469">
                  <c:v>470.79266222731468</c:v>
                </c:pt>
                <c:pt idx="470">
                  <c:v>471.02214898453889</c:v>
                </c:pt>
                <c:pt idx="471">
                  <c:v>473.01426368585339</c:v>
                </c:pt>
                <c:pt idx="472">
                  <c:v>473.10943663338736</c:v>
                </c:pt>
                <c:pt idx="473">
                  <c:v>474.64526342836615</c:v>
                </c:pt>
                <c:pt idx="474">
                  <c:v>475.64526342836621</c:v>
                </c:pt>
                <c:pt idx="475">
                  <c:v>476.10943663338696</c:v>
                </c:pt>
                <c:pt idx="476">
                  <c:v>478.014263685853</c:v>
                </c:pt>
                <c:pt idx="477">
                  <c:v>478.02214898453855</c:v>
                </c:pt>
                <c:pt idx="478">
                  <c:v>479.79266222731428</c:v>
                </c:pt>
                <c:pt idx="479">
                  <c:v>480.48364523293941</c:v>
                </c:pt>
                <c:pt idx="480">
                  <c:v>481.23495534577444</c:v>
                </c:pt>
                <c:pt idx="481">
                  <c:v>482.96392397319596</c:v>
                </c:pt>
                <c:pt idx="482">
                  <c:v>482.98163672246727</c:v>
                </c:pt>
                <c:pt idx="483">
                  <c:v>484.91141320835544</c:v>
                </c:pt>
                <c:pt idx="484">
                  <c:v>485.32362795606309</c:v>
                </c:pt>
                <c:pt idx="485">
                  <c:v>486.38641847559222</c:v>
                </c:pt>
                <c:pt idx="486">
                  <c:v>487.86817214969409</c:v>
                </c:pt>
                <c:pt idx="487">
                  <c:v>487.99186546965012</c:v>
                </c:pt>
                <c:pt idx="488">
                  <c:v>489.98989219807839</c:v>
                </c:pt>
                <c:pt idx="489">
                  <c:v>490.18087520370358</c:v>
                </c:pt>
                <c:pt idx="490">
                  <c:v>491.54899975638824</c:v>
                </c:pt>
                <c:pt idx="491">
                  <c:v>492.73638107097418</c:v>
                </c:pt>
                <c:pt idx="492">
                  <c:v>493.05183396504549</c:v>
                </c:pt>
                <c:pt idx="493">
                  <c:v>495.02041712617421</c:v>
                </c:pt>
                <c:pt idx="494">
                  <c:v>495.06936060987908</c:v>
                </c:pt>
                <c:pt idx="495">
                  <c:v>496.70678459962755</c:v>
                </c:pt>
                <c:pt idx="496">
                  <c:v>497.58145136606333</c:v>
                </c:pt>
                <c:pt idx="497">
                  <c:v>498.15567207449817</c:v>
                </c:pt>
                <c:pt idx="498">
                  <c:v>500.00000000000023</c:v>
                </c:pt>
                <c:pt idx="499">
                  <c:v>500.00000000000023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86-422C-AE87-E5E5710607D0}"/>
            </c:ext>
          </c:extLst>
        </c:ser>
        <c:ser>
          <c:idx val="1"/>
          <c:order val="1"/>
          <c:tx>
            <c:strRef>
              <c:f>'Point Convergence'!F1</c:f>
              <c:strCache>
                <c:ptCount val="1"/>
                <c:pt idx="0">
                  <c:v>CumSum (x=x_far)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'Point Convergence'!$A$2:$A$501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'Point Convergence'!$F$2:$F$501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86-422C-AE87-E5E571060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 terms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'Point Convergence'!$B$1</c:f>
              <c:strCache>
                <c:ptCount val="1"/>
                <c:pt idx="0">
                  <c:v>Term (x=x')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'Point Convergence'!$A$2:$A$501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'Point Convergence'!$B$2:$B$501</c:f>
              <c:numCache>
                <c:formatCode>General</c:formatCode>
                <c:ptCount val="500"/>
                <c:pt idx="0">
                  <c:v>1.8443279255020146</c:v>
                </c:pt>
                <c:pt idx="1">
                  <c:v>0.57422070843492812</c:v>
                </c:pt>
                <c:pt idx="2">
                  <c:v>0.8746667664356953</c:v>
                </c:pt>
                <c:pt idx="3">
                  <c:v>1.6374239897486911</c:v>
                </c:pt>
                <c:pt idx="4">
                  <c:v>4.8943483704846275E-2</c:v>
                </c:pt>
                <c:pt idx="5">
                  <c:v>1.9685831611286309</c:v>
                </c:pt>
                <c:pt idx="6">
                  <c:v>0.31545289407131361</c:v>
                </c:pt>
                <c:pt idx="7">
                  <c:v>1.1873813145857208</c:v>
                </c:pt>
                <c:pt idx="8">
                  <c:v>1.3681245526846784</c:v>
                </c:pt>
                <c:pt idx="9">
                  <c:v>0.19098300562505199</c:v>
                </c:pt>
                <c:pt idx="10">
                  <c:v>1.9980267284282718</c:v>
                </c:pt>
                <c:pt idx="11">
                  <c:v>0.12369331995613733</c:v>
                </c:pt>
                <c:pt idx="12">
                  <c:v>1.4817536741017134</c:v>
                </c:pt>
                <c:pt idx="13">
                  <c:v>1.0627905195293197</c:v>
                </c:pt>
                <c:pt idx="14">
                  <c:v>0.4122147477075242</c:v>
                </c:pt>
                <c:pt idx="15">
                  <c:v>1.9297764858882542</c:v>
                </c:pt>
                <c:pt idx="16">
                  <c:v>1.7712749271312105E-2</c:v>
                </c:pt>
                <c:pt idx="17">
                  <c:v>1.7289686274214109</c:v>
                </c:pt>
                <c:pt idx="18">
                  <c:v>0.75131011283515015</c:v>
                </c:pt>
                <c:pt idx="19">
                  <c:v>0.69098300562505077</c:v>
                </c:pt>
                <c:pt idx="20">
                  <c:v>1.7705132427757884</c:v>
                </c:pt>
                <c:pt idx="21">
                  <c:v>7.8852986855209133E-3</c:v>
                </c:pt>
                <c:pt idx="22">
                  <c:v>1.9048270524660167</c:v>
                </c:pt>
                <c:pt idx="23">
                  <c:v>0.46417320502100656</c:v>
                </c:pt>
                <c:pt idx="24">
                  <c:v>0.99999999999999234</c:v>
                </c:pt>
                <c:pt idx="25">
                  <c:v>1.5358267949790005</c:v>
                </c:pt>
                <c:pt idx="26">
                  <c:v>9.517294753397372E-2</c:v>
                </c:pt>
                <c:pt idx="27">
                  <c:v>1.992114701314476</c:v>
                </c:pt>
                <c:pt idx="28">
                  <c:v>0.22948675722421691</c:v>
                </c:pt>
                <c:pt idx="29">
                  <c:v>1.309016994374941</c:v>
                </c:pt>
                <c:pt idx="30">
                  <c:v>1.2486898871648717</c:v>
                </c:pt>
                <c:pt idx="31">
                  <c:v>0.27103137257857851</c:v>
                </c:pt>
                <c:pt idx="32">
                  <c:v>1.9822872507286908</c:v>
                </c:pt>
                <c:pt idx="33">
                  <c:v>7.0223514111751692E-2</c:v>
                </c:pt>
                <c:pt idx="34">
                  <c:v>1.5877852522924689</c:v>
                </c:pt>
                <c:pt idx="35">
                  <c:v>0.93720948047068886</c:v>
                </c:pt>
                <c:pt idx="36">
                  <c:v>0.51824632589827302</c:v>
                </c:pt>
                <c:pt idx="37">
                  <c:v>1.8763066800438686</c:v>
                </c:pt>
                <c:pt idx="38">
                  <c:v>1.9732715717288851E-3</c:v>
                </c:pt>
                <c:pt idx="39">
                  <c:v>1.8090169943749452</c:v>
                </c:pt>
                <c:pt idx="40">
                  <c:v>0.63187544731533618</c:v>
                </c:pt>
                <c:pt idx="41">
                  <c:v>0.8126186854142774</c:v>
                </c:pt>
                <c:pt idx="42">
                  <c:v>1.6845471059286952</c:v>
                </c:pt>
                <c:pt idx="43">
                  <c:v>3.1416838871363893E-2</c:v>
                </c:pt>
                <c:pt idx="44">
                  <c:v>1.951056516295153</c:v>
                </c:pt>
                <c:pt idx="45">
                  <c:v>0.36257601025132097</c:v>
                </c:pt>
                <c:pt idx="46">
                  <c:v>1.1253332335643078</c:v>
                </c:pt>
                <c:pt idx="47">
                  <c:v>1.4257792915650798</c:v>
                </c:pt>
                <c:pt idx="48">
                  <c:v>0.15567207449797485</c:v>
                </c:pt>
                <c:pt idx="49">
                  <c:v>2</c:v>
                </c:pt>
                <c:pt idx="50">
                  <c:v>0.15567207449799925</c:v>
                </c:pt>
                <c:pt idx="51">
                  <c:v>1.425779291565064</c:v>
                </c:pt>
                <c:pt idx="52">
                  <c:v>1.1253332335643247</c:v>
                </c:pt>
                <c:pt idx="53">
                  <c:v>0.36257601025128583</c:v>
                </c:pt>
                <c:pt idx="54">
                  <c:v>1.9510565162951581</c:v>
                </c:pt>
                <c:pt idx="55">
                  <c:v>3.1416838871375231E-2</c:v>
                </c:pt>
                <c:pt idx="56">
                  <c:v>1.6845471059286619</c:v>
                </c:pt>
                <c:pt idx="57">
                  <c:v>0.81261868541429438</c:v>
                </c:pt>
                <c:pt idx="58">
                  <c:v>0.63187544731529377</c:v>
                </c:pt>
                <c:pt idx="59">
                  <c:v>1.8090169943749552</c:v>
                </c:pt>
                <c:pt idx="60">
                  <c:v>1.9732715717269158E-3</c:v>
                </c:pt>
                <c:pt idx="61">
                  <c:v>1.8763066800438466</c:v>
                </c:pt>
                <c:pt idx="62">
                  <c:v>0.51824632589830055</c:v>
                </c:pt>
                <c:pt idx="63">
                  <c:v>0.93720948047065755</c:v>
                </c:pt>
                <c:pt idx="64">
                  <c:v>1.5877852522924827</c:v>
                </c:pt>
                <c:pt idx="65">
                  <c:v>7.0223514111740146E-2</c:v>
                </c:pt>
                <c:pt idx="66">
                  <c:v>1.9822872507286824</c:v>
                </c:pt>
                <c:pt idx="67">
                  <c:v>0.27103137257859994</c:v>
                </c:pt>
                <c:pt idx="68">
                  <c:v>1.248689887164828</c:v>
                </c:pt>
                <c:pt idx="69">
                  <c:v>1.3090169943749577</c:v>
                </c:pt>
                <c:pt idx="70">
                  <c:v>0.22948675722419692</c:v>
                </c:pt>
                <c:pt idx="71">
                  <c:v>1.9921147013144782</c:v>
                </c:pt>
                <c:pt idx="72">
                  <c:v>9.5172947533987071E-2</c:v>
                </c:pt>
                <c:pt idx="73">
                  <c:v>1.5358267949789741</c:v>
                </c:pt>
                <c:pt idx="74">
                  <c:v>1.0000000000000093</c:v>
                </c:pt>
                <c:pt idx="75">
                  <c:v>0.46417320502098613</c:v>
                </c:pt>
                <c:pt idx="76">
                  <c:v>1.9048270524660209</c:v>
                </c:pt>
                <c:pt idx="77">
                  <c:v>7.8852986855239525E-3</c:v>
                </c:pt>
                <c:pt idx="78">
                  <c:v>1.7705132427757728</c:v>
                </c:pt>
                <c:pt idx="79">
                  <c:v>0.69098300562506021</c:v>
                </c:pt>
                <c:pt idx="80">
                  <c:v>0.75131011283512672</c:v>
                </c:pt>
                <c:pt idx="81">
                  <c:v>1.7289686274214324</c:v>
                </c:pt>
                <c:pt idx="82">
                  <c:v>1.7712749271308892E-2</c:v>
                </c:pt>
                <c:pt idx="83">
                  <c:v>1.9297764858882529</c:v>
                </c:pt>
                <c:pt idx="84">
                  <c:v>0.41221474770753236</c:v>
                </c:pt>
                <c:pt idx="85">
                  <c:v>1.0627905195292957</c:v>
                </c:pt>
                <c:pt idx="86">
                  <c:v>1.4817536741017405</c:v>
                </c:pt>
                <c:pt idx="87">
                  <c:v>0.1236933199561171</c:v>
                </c:pt>
                <c:pt idx="88">
                  <c:v>1.9980267284282718</c:v>
                </c:pt>
                <c:pt idx="89">
                  <c:v>0.19098300562505582</c:v>
                </c:pt>
                <c:pt idx="90">
                  <c:v>1.3681245526846626</c:v>
                </c:pt>
                <c:pt idx="91">
                  <c:v>1.1873813145857517</c:v>
                </c:pt>
                <c:pt idx="92">
                  <c:v>0.31545289407128302</c:v>
                </c:pt>
                <c:pt idx="93">
                  <c:v>1.9685831611286295</c:v>
                </c:pt>
                <c:pt idx="94">
                  <c:v>4.8943483704847732E-2</c:v>
                </c:pt>
                <c:pt idx="95">
                  <c:v>1.6374239897486778</c:v>
                </c:pt>
                <c:pt idx="96">
                  <c:v>0.87466676643572205</c:v>
                </c:pt>
                <c:pt idx="97">
                  <c:v>0.57422070843489337</c:v>
                </c:pt>
                <c:pt idx="98">
                  <c:v>1.8443279255020109</c:v>
                </c:pt>
                <c:pt idx="99">
                  <c:v>4.9180318440327152E-28</c:v>
                </c:pt>
                <c:pt idx="100">
                  <c:v>1.8443279255019924</c:v>
                </c:pt>
                <c:pt idx="101">
                  <c:v>0.57422070843497575</c:v>
                </c:pt>
                <c:pt idx="102">
                  <c:v>0.87466676643563157</c:v>
                </c:pt>
                <c:pt idx="103">
                  <c:v>1.6374239897487044</c:v>
                </c:pt>
                <c:pt idx="104">
                  <c:v>4.8943483704837136E-2</c:v>
                </c:pt>
                <c:pt idx="105">
                  <c:v>1.9685831611286206</c:v>
                </c:pt>
                <c:pt idx="106">
                  <c:v>0.31545289407134941</c:v>
                </c:pt>
                <c:pt idx="107">
                  <c:v>1.1873813145856624</c:v>
                </c:pt>
                <c:pt idx="108">
                  <c:v>1.3681245526847474</c:v>
                </c:pt>
                <c:pt idx="109">
                  <c:v>0.19098300562503567</c:v>
                </c:pt>
                <c:pt idx="110">
                  <c:v>1.998026728428274</c:v>
                </c:pt>
                <c:pt idx="111">
                  <c:v>0.12369331995616099</c:v>
                </c:pt>
                <c:pt idx="112">
                  <c:v>1.4817536741016606</c:v>
                </c:pt>
                <c:pt idx="113">
                  <c:v>1.0627905195293865</c:v>
                </c:pt>
                <c:pt idx="114">
                  <c:v>0.4122147477075046</c:v>
                </c:pt>
                <c:pt idx="115">
                  <c:v>1.9297764858882656</c:v>
                </c:pt>
                <c:pt idx="116">
                  <c:v>1.7712749271320646E-2</c:v>
                </c:pt>
                <c:pt idx="117">
                  <c:v>1.72896862742137</c:v>
                </c:pt>
                <c:pt idx="118">
                  <c:v>0.75131011283521487</c:v>
                </c:pt>
                <c:pt idx="119">
                  <c:v>0.69098300562502757</c:v>
                </c:pt>
                <c:pt idx="120">
                  <c:v>1.770513242775813</c:v>
                </c:pt>
                <c:pt idx="121">
                  <c:v>7.885298685516089E-3</c:v>
                </c:pt>
                <c:pt idx="122">
                  <c:v>1.904827052465994</c:v>
                </c:pt>
                <c:pt idx="123">
                  <c:v>0.46417320502106307</c:v>
                </c:pt>
                <c:pt idx="124">
                  <c:v>0.99999999999997502</c:v>
                </c:pt>
                <c:pt idx="125">
                  <c:v>1.535826794979027</c:v>
                </c:pt>
                <c:pt idx="126">
                  <c:v>9.5172947533960356E-2</c:v>
                </c:pt>
                <c:pt idx="127">
                  <c:v>1.9921147013144707</c:v>
                </c:pt>
                <c:pt idx="128">
                  <c:v>0.22948675722425504</c:v>
                </c:pt>
                <c:pt idx="129">
                  <c:v>1.3090169943749248</c:v>
                </c:pt>
                <c:pt idx="130">
                  <c:v>1.2486898871648886</c:v>
                </c:pt>
                <c:pt idx="131">
                  <c:v>0.27103137257855703</c:v>
                </c:pt>
                <c:pt idx="132">
                  <c:v>1.9822872507286993</c:v>
                </c:pt>
                <c:pt idx="133">
                  <c:v>7.0223514111773688E-2</c:v>
                </c:pt>
                <c:pt idx="134">
                  <c:v>1.5877852522924552</c:v>
                </c:pt>
                <c:pt idx="135">
                  <c:v>0.93720948047072017</c:v>
                </c:pt>
                <c:pt idx="136">
                  <c:v>0.51824632589824571</c:v>
                </c:pt>
                <c:pt idx="137">
                  <c:v>1.8763066800438906</c:v>
                </c:pt>
                <c:pt idx="138">
                  <c:v>1.9732715717290699E-3</c:v>
                </c:pt>
                <c:pt idx="139">
                  <c:v>1.809016994374935</c:v>
                </c:pt>
                <c:pt idx="140">
                  <c:v>0.63187544731535195</c:v>
                </c:pt>
                <c:pt idx="141">
                  <c:v>0.81261868541423277</c:v>
                </c:pt>
                <c:pt idx="142">
                  <c:v>1.6845471059287287</c:v>
                </c:pt>
                <c:pt idx="143">
                  <c:v>3.1416838871366704E-2</c:v>
                </c:pt>
                <c:pt idx="144">
                  <c:v>1.9510565162951476</c:v>
                </c:pt>
                <c:pt idx="145">
                  <c:v>0.36257601025133424</c:v>
                </c:pt>
                <c:pt idx="146">
                  <c:v>1.1253332335642625</c:v>
                </c:pt>
                <c:pt idx="147">
                  <c:v>1.4257792915651206</c:v>
                </c:pt>
                <c:pt idx="148">
                  <c:v>0.15567207449798093</c:v>
                </c:pt>
                <c:pt idx="149">
                  <c:v>2</c:v>
                </c:pt>
                <c:pt idx="150">
                  <c:v>0.15567207449800086</c:v>
                </c:pt>
                <c:pt idx="151">
                  <c:v>1.4257792915650356</c:v>
                </c:pt>
                <c:pt idx="152">
                  <c:v>1.1253332335643558</c:v>
                </c:pt>
                <c:pt idx="153">
                  <c:v>0.36257601025130548</c:v>
                </c:pt>
                <c:pt idx="154">
                  <c:v>1.951056516295159</c:v>
                </c:pt>
                <c:pt idx="155">
                  <c:v>3.1416838871375953E-2</c:v>
                </c:pt>
                <c:pt idx="156">
                  <c:v>1.6845471059286596</c:v>
                </c:pt>
                <c:pt idx="157">
                  <c:v>0.81261868541432525</c:v>
                </c:pt>
                <c:pt idx="158">
                  <c:v>0.63187544731531753</c:v>
                </c:pt>
                <c:pt idx="159">
                  <c:v>1.809016994374957</c:v>
                </c:pt>
                <c:pt idx="160">
                  <c:v>1.9732715717267306E-3</c:v>
                </c:pt>
                <c:pt idx="161">
                  <c:v>1.8763066800438448</c:v>
                </c:pt>
                <c:pt idx="162">
                  <c:v>0.51824632589832798</c:v>
                </c:pt>
                <c:pt idx="163">
                  <c:v>0.93720948047062624</c:v>
                </c:pt>
                <c:pt idx="164">
                  <c:v>1.5877852522925311</c:v>
                </c:pt>
                <c:pt idx="165">
                  <c:v>7.0223514111739063E-2</c:v>
                </c:pt>
                <c:pt idx="166">
                  <c:v>1.9822872507286815</c:v>
                </c:pt>
                <c:pt idx="167">
                  <c:v>0.27103137257858251</c:v>
                </c:pt>
                <c:pt idx="168">
                  <c:v>1.2486898871648524</c:v>
                </c:pt>
                <c:pt idx="169">
                  <c:v>1.3090169943749606</c:v>
                </c:pt>
                <c:pt idx="170">
                  <c:v>0.22948675722419504</c:v>
                </c:pt>
                <c:pt idx="171">
                  <c:v>1.9921147013144822</c:v>
                </c:pt>
                <c:pt idx="172">
                  <c:v>9.5172947534000435E-2</c:v>
                </c:pt>
                <c:pt idx="173">
                  <c:v>1.5358267949789475</c:v>
                </c:pt>
                <c:pt idx="174">
                  <c:v>1.0000000000000693</c:v>
                </c:pt>
                <c:pt idx="175">
                  <c:v>0.46417320502093568</c:v>
                </c:pt>
                <c:pt idx="176">
                  <c:v>1.9048270524660345</c:v>
                </c:pt>
                <c:pt idx="177">
                  <c:v>7.8852986855207606E-3</c:v>
                </c:pt>
                <c:pt idx="178">
                  <c:v>1.7705132427757893</c:v>
                </c:pt>
                <c:pt idx="179">
                  <c:v>0.69098300562506298</c:v>
                </c:pt>
                <c:pt idx="180">
                  <c:v>0.75131011283512372</c:v>
                </c:pt>
                <c:pt idx="181">
                  <c:v>1.7289686274214344</c:v>
                </c:pt>
                <c:pt idx="182">
                  <c:v>1.7712749271303015E-2</c:v>
                </c:pt>
                <c:pt idx="183">
                  <c:v>1.9297764858882311</c:v>
                </c:pt>
                <c:pt idx="184">
                  <c:v>0.41221474770758071</c:v>
                </c:pt>
                <c:pt idx="185">
                  <c:v>1.0627905195292358</c:v>
                </c:pt>
                <c:pt idx="186">
                  <c:v>1.4817536741017432</c:v>
                </c:pt>
                <c:pt idx="187">
                  <c:v>0.12369331995614308</c:v>
                </c:pt>
                <c:pt idx="188">
                  <c:v>1.9980267284282718</c:v>
                </c:pt>
                <c:pt idx="189">
                  <c:v>0.19098300562505754</c:v>
                </c:pt>
                <c:pt idx="190">
                  <c:v>1.3681245526846597</c:v>
                </c:pt>
                <c:pt idx="191">
                  <c:v>1.1873813145857548</c:v>
                </c:pt>
                <c:pt idx="192">
                  <c:v>0.31545289407128091</c:v>
                </c:pt>
                <c:pt idx="193">
                  <c:v>1.9685831611286442</c:v>
                </c:pt>
                <c:pt idx="194">
                  <c:v>4.894348370486621E-2</c:v>
                </c:pt>
                <c:pt idx="195">
                  <c:v>1.637423989748632</c:v>
                </c:pt>
                <c:pt idx="196">
                  <c:v>0.87466676643578134</c:v>
                </c:pt>
                <c:pt idx="197">
                  <c:v>0.57422070843494222</c:v>
                </c:pt>
                <c:pt idx="198">
                  <c:v>1.8443279255020428</c:v>
                </c:pt>
                <c:pt idx="199">
                  <c:v>1.9672127376130861E-27</c:v>
                </c:pt>
                <c:pt idx="200">
                  <c:v>1.8443279255019753</c:v>
                </c:pt>
                <c:pt idx="201">
                  <c:v>0.57422070843500428</c:v>
                </c:pt>
                <c:pt idx="202">
                  <c:v>0.87466676643560048</c:v>
                </c:pt>
                <c:pt idx="203">
                  <c:v>1.6374239897487723</c:v>
                </c:pt>
                <c:pt idx="204">
                  <c:v>4.8943483704809866E-2</c:v>
                </c:pt>
                <c:pt idx="205">
                  <c:v>1.9685831611285991</c:v>
                </c:pt>
                <c:pt idx="206">
                  <c:v>0.31545289407141369</c:v>
                </c:pt>
                <c:pt idx="207">
                  <c:v>1.1873813145856873</c:v>
                </c:pt>
                <c:pt idx="208">
                  <c:v>1.3681245526847234</c:v>
                </c:pt>
                <c:pt idx="209">
                  <c:v>0.19098300562501722</c:v>
                </c:pt>
                <c:pt idx="210">
                  <c:v>1.9980267284282762</c:v>
                </c:pt>
                <c:pt idx="211">
                  <c:v>0.12369331995617612</c:v>
                </c:pt>
                <c:pt idx="212">
                  <c:v>1.4817536741016335</c:v>
                </c:pt>
                <c:pt idx="213">
                  <c:v>1.0627905195294176</c:v>
                </c:pt>
                <c:pt idx="214">
                  <c:v>0.41221474770743327</c:v>
                </c:pt>
                <c:pt idx="215">
                  <c:v>1.9297764858882982</c:v>
                </c:pt>
                <c:pt idx="216">
                  <c:v>1.7712749271337175E-2</c:v>
                </c:pt>
                <c:pt idx="217">
                  <c:v>1.7289686274213094</c:v>
                </c:pt>
                <c:pt idx="218">
                  <c:v>0.75131011283519034</c:v>
                </c:pt>
                <c:pt idx="219">
                  <c:v>0.69098300562499781</c:v>
                </c:pt>
                <c:pt idx="220">
                  <c:v>1.770513242775833</c:v>
                </c:pt>
                <c:pt idx="221">
                  <c:v>7.8852986855121616E-3</c:v>
                </c:pt>
                <c:pt idx="222">
                  <c:v>1.9048270524659807</c:v>
                </c:pt>
                <c:pt idx="223">
                  <c:v>0.46417320502108961</c:v>
                </c:pt>
                <c:pt idx="224">
                  <c:v>0.99999999999988676</c:v>
                </c:pt>
                <c:pt idx="225">
                  <c:v>1.5358267949791016</c:v>
                </c:pt>
                <c:pt idx="226">
                  <c:v>9.5172947533922816E-2</c:v>
                </c:pt>
                <c:pt idx="227">
                  <c:v>1.9921147013144596</c:v>
                </c:pt>
                <c:pt idx="228">
                  <c:v>0.22948675722431125</c:v>
                </c:pt>
                <c:pt idx="229">
                  <c:v>1.309016994374895</c:v>
                </c:pt>
                <c:pt idx="230">
                  <c:v>1.2486898871649188</c:v>
                </c:pt>
                <c:pt idx="231">
                  <c:v>0.27103137257853555</c:v>
                </c:pt>
                <c:pt idx="232">
                  <c:v>1.9822872507287055</c:v>
                </c:pt>
                <c:pt idx="233">
                  <c:v>7.0223514111785235E-2</c:v>
                </c:pt>
                <c:pt idx="234">
                  <c:v>1.5877852522923834</c:v>
                </c:pt>
                <c:pt idx="235">
                  <c:v>0.9372094804708081</c:v>
                </c:pt>
                <c:pt idx="236">
                  <c:v>0.51824632589816833</c:v>
                </c:pt>
                <c:pt idx="237">
                  <c:v>1.8763066800439332</c:v>
                </c:pt>
                <c:pt idx="238">
                  <c:v>1.9732715717381772E-3</c:v>
                </c:pt>
                <c:pt idx="239">
                  <c:v>1.8090169943749164</c:v>
                </c:pt>
                <c:pt idx="240">
                  <c:v>0.63187544731538114</c:v>
                </c:pt>
                <c:pt idx="241">
                  <c:v>0.8126186854142019</c:v>
                </c:pt>
                <c:pt idx="242">
                  <c:v>1.6845471059287513</c:v>
                </c:pt>
                <c:pt idx="243">
                  <c:v>3.1416838871344756E-2</c:v>
                </c:pt>
                <c:pt idx="244">
                  <c:v>1.9510565162951199</c:v>
                </c:pt>
                <c:pt idx="245">
                  <c:v>0.36257601025140213</c:v>
                </c:pt>
                <c:pt idx="246">
                  <c:v>1.1253332335641748</c:v>
                </c:pt>
                <c:pt idx="247">
                  <c:v>1.4257792915652006</c:v>
                </c:pt>
                <c:pt idx="248">
                  <c:v>0.15567207449796408</c:v>
                </c:pt>
                <c:pt idx="249">
                  <c:v>2</c:v>
                </c:pt>
                <c:pt idx="250">
                  <c:v>0.15567207449801765</c:v>
                </c:pt>
                <c:pt idx="251">
                  <c:v>1.4257792915650074</c:v>
                </c:pt>
                <c:pt idx="252">
                  <c:v>1.1253332335643871</c:v>
                </c:pt>
                <c:pt idx="253">
                  <c:v>0.36257601025123753</c:v>
                </c:pt>
                <c:pt idx="254">
                  <c:v>1.9510565162951863</c:v>
                </c:pt>
                <c:pt idx="255">
                  <c:v>3.1416838871397901E-2</c:v>
                </c:pt>
                <c:pt idx="256">
                  <c:v>1.6845471059285952</c:v>
                </c:pt>
                <c:pt idx="257">
                  <c:v>0.81261868541441185</c:v>
                </c:pt>
                <c:pt idx="258">
                  <c:v>0.63187544731528833</c:v>
                </c:pt>
                <c:pt idx="259">
                  <c:v>1.8090169943749752</c:v>
                </c:pt>
                <c:pt idx="260">
                  <c:v>1.9732715717247612E-3</c:v>
                </c:pt>
                <c:pt idx="261">
                  <c:v>1.8763066800438299</c:v>
                </c:pt>
                <c:pt idx="262">
                  <c:v>0.51824632589835551</c:v>
                </c:pt>
                <c:pt idx="263">
                  <c:v>0.93720948047059494</c:v>
                </c:pt>
                <c:pt idx="264">
                  <c:v>1.5877852522925564</c:v>
                </c:pt>
                <c:pt idx="265">
                  <c:v>7.0223514111706589E-2</c:v>
                </c:pt>
                <c:pt idx="266">
                  <c:v>1.9822872507286651</c:v>
                </c:pt>
                <c:pt idx="267">
                  <c:v>0.27103137257868187</c:v>
                </c:pt>
                <c:pt idx="268">
                  <c:v>1.248689887164822</c:v>
                </c:pt>
                <c:pt idx="269">
                  <c:v>1.3090169943749903</c:v>
                </c:pt>
                <c:pt idx="270">
                  <c:v>0.22948675722417511</c:v>
                </c:pt>
                <c:pt idx="271">
                  <c:v>1.9921147013144862</c:v>
                </c:pt>
                <c:pt idx="272">
                  <c:v>9.5172947534013785E-2</c:v>
                </c:pt>
                <c:pt idx="273">
                  <c:v>1.5358267949789211</c:v>
                </c:pt>
                <c:pt idx="274">
                  <c:v>1.0000000000001004</c:v>
                </c:pt>
                <c:pt idx="275">
                  <c:v>0.46417320502090914</c:v>
                </c:pt>
                <c:pt idx="276">
                  <c:v>1.9048270524660718</c:v>
                </c:pt>
                <c:pt idx="277">
                  <c:v>7.885298685524688E-3</c:v>
                </c:pt>
                <c:pt idx="278">
                  <c:v>1.7705132427757695</c:v>
                </c:pt>
                <c:pt idx="279">
                  <c:v>0.69098300562509274</c:v>
                </c:pt>
                <c:pt idx="280">
                  <c:v>0.75131011283509352</c:v>
                </c:pt>
                <c:pt idx="281">
                  <c:v>1.728968627421456</c:v>
                </c:pt>
                <c:pt idx="282">
                  <c:v>1.7712749271297137E-2</c:v>
                </c:pt>
                <c:pt idx="283">
                  <c:v>1.9297764858882194</c:v>
                </c:pt>
                <c:pt idx="284">
                  <c:v>0.41221474770760613</c:v>
                </c:pt>
                <c:pt idx="285">
                  <c:v>1.0627905195292047</c:v>
                </c:pt>
                <c:pt idx="286">
                  <c:v>1.4817536741018205</c:v>
                </c:pt>
                <c:pt idx="287">
                  <c:v>0.12369331995612794</c:v>
                </c:pt>
                <c:pt idx="288">
                  <c:v>1.99802672842827</c:v>
                </c:pt>
                <c:pt idx="289">
                  <c:v>0.19098300562507595</c:v>
                </c:pt>
                <c:pt idx="290">
                  <c:v>1.3681245526846306</c:v>
                </c:pt>
                <c:pt idx="291">
                  <c:v>1.1873813145857857</c:v>
                </c:pt>
                <c:pt idx="292">
                  <c:v>0.31545289407125798</c:v>
                </c:pt>
                <c:pt idx="293">
                  <c:v>1.9685831611286519</c:v>
                </c:pt>
                <c:pt idx="294">
                  <c:v>4.8943483704875904E-2</c:v>
                </c:pt>
                <c:pt idx="295">
                  <c:v>1.6374239897486076</c:v>
                </c:pt>
                <c:pt idx="296">
                  <c:v>0.87466676643581254</c:v>
                </c:pt>
                <c:pt idx="297">
                  <c:v>0.57422070843491391</c:v>
                </c:pt>
                <c:pt idx="298">
                  <c:v>1.8443279255020291</c:v>
                </c:pt>
                <c:pt idx="299">
                  <c:v>6.9356072325320923E-28</c:v>
                </c:pt>
                <c:pt idx="300">
                  <c:v>1.8443279255019891</c:v>
                </c:pt>
                <c:pt idx="301">
                  <c:v>0.57422070843498119</c:v>
                </c:pt>
                <c:pt idx="302">
                  <c:v>0.87466676643562569</c:v>
                </c:pt>
                <c:pt idx="303">
                  <c:v>1.6374239897487526</c:v>
                </c:pt>
                <c:pt idx="304">
                  <c:v>4.8943483704817756E-2</c:v>
                </c:pt>
                <c:pt idx="305">
                  <c:v>1.9685831611286053</c:v>
                </c:pt>
                <c:pt idx="306">
                  <c:v>0.31545289407131233</c:v>
                </c:pt>
                <c:pt idx="307">
                  <c:v>1.1873813145857124</c:v>
                </c:pt>
                <c:pt idx="308">
                  <c:v>1.3681245526847001</c:v>
                </c:pt>
                <c:pt idx="309">
                  <c:v>0.19098300562503215</c:v>
                </c:pt>
                <c:pt idx="310">
                  <c:v>1.9980267284282744</c:v>
                </c:pt>
                <c:pt idx="311">
                  <c:v>0.12369331995616384</c:v>
                </c:pt>
                <c:pt idx="312">
                  <c:v>1.4817536741016557</c:v>
                </c:pt>
                <c:pt idx="313">
                  <c:v>1.0627905195293925</c:v>
                </c:pt>
                <c:pt idx="314">
                  <c:v>0.41221474770745381</c:v>
                </c:pt>
                <c:pt idx="315">
                  <c:v>1.9297764858882887</c:v>
                </c:pt>
                <c:pt idx="316">
                  <c:v>1.7712749271311098E-2</c:v>
                </c:pt>
                <c:pt idx="317">
                  <c:v>1.7289686274214047</c:v>
                </c:pt>
                <c:pt idx="318">
                  <c:v>0.75131011283516558</c:v>
                </c:pt>
                <c:pt idx="319">
                  <c:v>0.69098300562502202</c:v>
                </c:pt>
                <c:pt idx="320">
                  <c:v>1.7705132427758168</c:v>
                </c:pt>
                <c:pt idx="321">
                  <c:v>7.8852986855153535E-3</c:v>
                </c:pt>
                <c:pt idx="322">
                  <c:v>1.9048270524659916</c:v>
                </c:pt>
                <c:pt idx="323">
                  <c:v>0.46417320502106807</c:v>
                </c:pt>
                <c:pt idx="324">
                  <c:v>0.99999999999991218</c:v>
                </c:pt>
                <c:pt idx="325">
                  <c:v>1.5358267949790798</c:v>
                </c:pt>
                <c:pt idx="326">
                  <c:v>9.5172947533982061E-2</c:v>
                </c:pt>
                <c:pt idx="327">
                  <c:v>1.9921147013144627</c:v>
                </c:pt>
                <c:pt idx="328">
                  <c:v>0.22948675722422257</c:v>
                </c:pt>
                <c:pt idx="329">
                  <c:v>1.3090169943748109</c:v>
                </c:pt>
                <c:pt idx="330">
                  <c:v>1.2486898871648942</c:v>
                </c:pt>
                <c:pt idx="331">
                  <c:v>0.27103137257855303</c:v>
                </c:pt>
                <c:pt idx="332">
                  <c:v>1.9822872507287006</c:v>
                </c:pt>
                <c:pt idx="333">
                  <c:v>7.0223514111775853E-2</c:v>
                </c:pt>
                <c:pt idx="334">
                  <c:v>1.5877852522924043</c:v>
                </c:pt>
                <c:pt idx="335">
                  <c:v>0.9372094804706691</c:v>
                </c:pt>
                <c:pt idx="336">
                  <c:v>0.51824632589819075</c:v>
                </c:pt>
                <c:pt idx="337">
                  <c:v>1.8763066800438659</c:v>
                </c:pt>
                <c:pt idx="338">
                  <c:v>1.9732715717365773E-3</c:v>
                </c:pt>
                <c:pt idx="339">
                  <c:v>1.8090169943749317</c:v>
                </c:pt>
                <c:pt idx="340">
                  <c:v>0.6318754473154633</c:v>
                </c:pt>
                <c:pt idx="341">
                  <c:v>0.8126186854142271</c:v>
                </c:pt>
                <c:pt idx="342">
                  <c:v>1.6845471059287327</c:v>
                </c:pt>
                <c:pt idx="343">
                  <c:v>3.1416838871351105E-2</c:v>
                </c:pt>
                <c:pt idx="344">
                  <c:v>1.9510565162951279</c:v>
                </c:pt>
                <c:pt idx="345">
                  <c:v>0.36257601025138253</c:v>
                </c:pt>
                <c:pt idx="346">
                  <c:v>1.1253332335643131</c:v>
                </c:pt>
                <c:pt idx="347">
                  <c:v>1.4257792915651777</c:v>
                </c:pt>
                <c:pt idx="348">
                  <c:v>0.15567207449797776</c:v>
                </c:pt>
                <c:pt idx="349">
                  <c:v>2</c:v>
                </c:pt>
                <c:pt idx="350">
                  <c:v>0.15567207449800402</c:v>
                </c:pt>
                <c:pt idx="351">
                  <c:v>1.4257792915649274</c:v>
                </c:pt>
                <c:pt idx="352">
                  <c:v>1.1253332335643618</c:v>
                </c:pt>
                <c:pt idx="353">
                  <c:v>0.36257601025125719</c:v>
                </c:pt>
                <c:pt idx="354">
                  <c:v>1.9510565162951783</c:v>
                </c:pt>
                <c:pt idx="355">
                  <c:v>3.1416838871363283E-2</c:v>
                </c:pt>
                <c:pt idx="356">
                  <c:v>1.6845471059286141</c:v>
                </c:pt>
                <c:pt idx="357">
                  <c:v>0.81261868541427518</c:v>
                </c:pt>
                <c:pt idx="358">
                  <c:v>0.63187544731520617</c:v>
                </c:pt>
                <c:pt idx="359">
                  <c:v>1.8090169943749603</c:v>
                </c:pt>
                <c:pt idx="360">
                  <c:v>1.9732715717192236E-3</c:v>
                </c:pt>
                <c:pt idx="361">
                  <c:v>1.8763066800438424</c:v>
                </c:pt>
                <c:pt idx="362">
                  <c:v>0.51824632589833308</c:v>
                </c:pt>
                <c:pt idx="363">
                  <c:v>0.93720948047062047</c:v>
                </c:pt>
                <c:pt idx="364">
                  <c:v>1.587785252292444</c:v>
                </c:pt>
                <c:pt idx="365">
                  <c:v>7.0223514111715971E-2</c:v>
                </c:pt>
                <c:pt idx="366">
                  <c:v>1.9822872507286913</c:v>
                </c:pt>
                <c:pt idx="367">
                  <c:v>0.27103137257866433</c:v>
                </c:pt>
                <c:pt idx="368">
                  <c:v>1.2486898871648469</c:v>
                </c:pt>
                <c:pt idx="369">
                  <c:v>1.309016994375074</c:v>
                </c:pt>
                <c:pt idx="370">
                  <c:v>0.22948675722419135</c:v>
                </c:pt>
                <c:pt idx="371">
                  <c:v>1.9921147013144973</c:v>
                </c:pt>
                <c:pt idx="372">
                  <c:v>9.5172947534002933E-2</c:v>
                </c:pt>
                <c:pt idx="373">
                  <c:v>1.5358267949789426</c:v>
                </c:pt>
                <c:pt idx="374">
                  <c:v>1.0000000000000748</c:v>
                </c:pt>
                <c:pt idx="375">
                  <c:v>0.46417320502102671</c:v>
                </c:pt>
                <c:pt idx="376">
                  <c:v>1.9048270524660609</c:v>
                </c:pt>
                <c:pt idx="377">
                  <c:v>7.8852986855214961E-3</c:v>
                </c:pt>
                <c:pt idx="378">
                  <c:v>1.7705132427757131</c:v>
                </c:pt>
                <c:pt idx="379">
                  <c:v>0.69098300562506854</c:v>
                </c:pt>
                <c:pt idx="380">
                  <c:v>0.75131011283500804</c:v>
                </c:pt>
                <c:pt idx="381">
                  <c:v>1.7289686274214382</c:v>
                </c:pt>
                <c:pt idx="382">
                  <c:v>1.7712749271280609E-2</c:v>
                </c:pt>
                <c:pt idx="383">
                  <c:v>1.9297764858882289</c:v>
                </c:pt>
                <c:pt idx="384">
                  <c:v>0.4122147477074935</c:v>
                </c:pt>
                <c:pt idx="385">
                  <c:v>1.06279051952923</c:v>
                </c:pt>
                <c:pt idx="386">
                  <c:v>1.4817536741016986</c:v>
                </c:pt>
                <c:pt idx="387">
                  <c:v>0.12369331995608546</c:v>
                </c:pt>
                <c:pt idx="388">
                  <c:v>1.9980267284282713</c:v>
                </c:pt>
                <c:pt idx="389">
                  <c:v>0.19098300562512782</c:v>
                </c:pt>
                <c:pt idx="390">
                  <c:v>1.3681245526846544</c:v>
                </c:pt>
                <c:pt idx="391">
                  <c:v>1.1873813145858723</c:v>
                </c:pt>
                <c:pt idx="392">
                  <c:v>0.31545289407127658</c:v>
                </c:pt>
                <c:pt idx="393">
                  <c:v>1.9685831611286739</c:v>
                </c:pt>
                <c:pt idx="394">
                  <c:v>4.8943483704868014E-2</c:v>
                </c:pt>
                <c:pt idx="395">
                  <c:v>1.6374239897487148</c:v>
                </c:pt>
                <c:pt idx="396">
                  <c:v>0.87466676643578722</c:v>
                </c:pt>
                <c:pt idx="397">
                  <c:v>0.57422070843483397</c:v>
                </c:pt>
                <c:pt idx="398">
                  <c:v>1.8443279255020764</c:v>
                </c:pt>
                <c:pt idx="399">
                  <c:v>7.8688509504523443E-27</c:v>
                </c:pt>
                <c:pt idx="400">
                  <c:v>1.8443279255019418</c:v>
                </c:pt>
                <c:pt idx="401">
                  <c:v>0.5742207084350609</c:v>
                </c:pt>
                <c:pt idx="402">
                  <c:v>0.8746667664355382</c:v>
                </c:pt>
                <c:pt idx="403">
                  <c:v>1.6374239897488205</c:v>
                </c:pt>
                <c:pt idx="404">
                  <c:v>4.8943483704790486E-2</c:v>
                </c:pt>
                <c:pt idx="405">
                  <c:v>1.9685831611285833</c:v>
                </c:pt>
                <c:pt idx="406">
                  <c:v>0.31545289407129368</c:v>
                </c:pt>
                <c:pt idx="407">
                  <c:v>1.1873813145855139</c:v>
                </c:pt>
                <c:pt idx="408">
                  <c:v>1.3681245526846761</c:v>
                </c:pt>
                <c:pt idx="409">
                  <c:v>0.19098300562491352</c:v>
                </c:pt>
                <c:pt idx="410">
                  <c:v>1.9980267284282727</c:v>
                </c:pt>
                <c:pt idx="411">
                  <c:v>0.12369331995626111</c:v>
                </c:pt>
                <c:pt idx="412">
                  <c:v>1.4817536741016779</c:v>
                </c:pt>
                <c:pt idx="413">
                  <c:v>1.0627905195295939</c:v>
                </c:pt>
                <c:pt idx="414">
                  <c:v>0.41221474770747446</c:v>
                </c:pt>
                <c:pt idx="415">
                  <c:v>1.9297764858882795</c:v>
                </c:pt>
                <c:pt idx="416">
                  <c:v>1.7712749271327627E-2</c:v>
                </c:pt>
                <c:pt idx="417">
                  <c:v>1.7289686274213445</c:v>
                </c:pt>
                <c:pt idx="418">
                  <c:v>0.75131011283525106</c:v>
                </c:pt>
                <c:pt idx="419">
                  <c:v>0.69098300562493797</c:v>
                </c:pt>
                <c:pt idx="420">
                  <c:v>1.7705132427758732</c:v>
                </c:pt>
                <c:pt idx="421">
                  <c:v>7.8852986855042981E-3</c:v>
                </c:pt>
                <c:pt idx="422">
                  <c:v>1.9048270524659543</c:v>
                </c:pt>
                <c:pt idx="423">
                  <c:v>0.46417320502114251</c:v>
                </c:pt>
                <c:pt idx="424">
                  <c:v>0.99999999999982392</c:v>
                </c:pt>
                <c:pt idx="425">
                  <c:v>1.5358267949791546</c:v>
                </c:pt>
                <c:pt idx="426">
                  <c:v>9.5172947533992913E-2</c:v>
                </c:pt>
                <c:pt idx="427">
                  <c:v>1.9921147013144516</c:v>
                </c:pt>
                <c:pt idx="428">
                  <c:v>0.22948675722420631</c:v>
                </c:pt>
                <c:pt idx="429">
                  <c:v>1.3090169943747272</c:v>
                </c:pt>
                <c:pt idx="430">
                  <c:v>1.2486898871648697</c:v>
                </c:pt>
                <c:pt idx="431">
                  <c:v>0.27103137257841481</c:v>
                </c:pt>
                <c:pt idx="432">
                  <c:v>1.9822872507286957</c:v>
                </c:pt>
                <c:pt idx="433">
                  <c:v>7.0223514111850183E-2</c:v>
                </c:pt>
                <c:pt idx="434">
                  <c:v>1.587785252292425</c:v>
                </c:pt>
                <c:pt idx="435">
                  <c:v>0.93720948047098407</c:v>
                </c:pt>
                <c:pt idx="436">
                  <c:v>0.51824632589821285</c:v>
                </c:pt>
                <c:pt idx="437">
                  <c:v>1.8763066800439085</c:v>
                </c:pt>
                <c:pt idx="438">
                  <c:v>1.9732715717349775E-3</c:v>
                </c:pt>
                <c:pt idx="439">
                  <c:v>1.8090169943748797</c:v>
                </c:pt>
                <c:pt idx="440">
                  <c:v>0.63187544731543954</c:v>
                </c:pt>
                <c:pt idx="441">
                  <c:v>0.8126186854141404</c:v>
                </c:pt>
                <c:pt idx="442">
                  <c:v>1.6845471059287971</c:v>
                </c:pt>
                <c:pt idx="443">
                  <c:v>3.1416838871329157E-2</c:v>
                </c:pt>
                <c:pt idx="444">
                  <c:v>1.9510565162951006</c:v>
                </c:pt>
                <c:pt idx="445">
                  <c:v>0.36257601025145053</c:v>
                </c:pt>
                <c:pt idx="446">
                  <c:v>1.1253332335641129</c:v>
                </c:pt>
                <c:pt idx="447">
                  <c:v>1.4257792915652574</c:v>
                </c:pt>
                <c:pt idx="448">
                  <c:v>0.15567207449799139</c:v>
                </c:pt>
                <c:pt idx="449">
                  <c:v>2</c:v>
                </c:pt>
                <c:pt idx="450">
                  <c:v>0.15567207449799034</c:v>
                </c:pt>
                <c:pt idx="451">
                  <c:v>1.4257792915648477</c:v>
                </c:pt>
                <c:pt idx="452">
                  <c:v>1.1253332335643365</c:v>
                </c:pt>
                <c:pt idx="453">
                  <c:v>0.36257601025110153</c:v>
                </c:pt>
                <c:pt idx="454">
                  <c:v>1.9510565162951705</c:v>
                </c:pt>
                <c:pt idx="455">
                  <c:v>3.1416838871441775E-2</c:v>
                </c:pt>
                <c:pt idx="456">
                  <c:v>1.6845471059286328</c:v>
                </c:pt>
                <c:pt idx="457">
                  <c:v>0.81261868541458515</c:v>
                </c:pt>
                <c:pt idx="458">
                  <c:v>0.63187544731522993</c:v>
                </c:pt>
                <c:pt idx="459">
                  <c:v>1.8090169943750123</c:v>
                </c:pt>
                <c:pt idx="460">
                  <c:v>1.9732715717208234E-3</c:v>
                </c:pt>
                <c:pt idx="461">
                  <c:v>1.8763066800437997</c:v>
                </c:pt>
                <c:pt idx="462">
                  <c:v>0.51824632589841046</c:v>
                </c:pt>
                <c:pt idx="463">
                  <c:v>0.93720948047053232</c:v>
                </c:pt>
                <c:pt idx="464">
                  <c:v>1.5877852522926075</c:v>
                </c:pt>
                <c:pt idx="465">
                  <c:v>7.0223514111683497E-2</c:v>
                </c:pt>
                <c:pt idx="466">
                  <c:v>1.9822872507286533</c:v>
                </c:pt>
                <c:pt idx="467">
                  <c:v>0.27103137257872478</c:v>
                </c:pt>
                <c:pt idx="468">
                  <c:v>1.248689887164651</c:v>
                </c:pt>
                <c:pt idx="469">
                  <c:v>1.3090169943751579</c:v>
                </c:pt>
                <c:pt idx="470">
                  <c:v>0.22948675722420758</c:v>
                </c:pt>
                <c:pt idx="471">
                  <c:v>1.9921147013145084</c:v>
                </c:pt>
                <c:pt idx="472">
                  <c:v>9.5172947533992081E-2</c:v>
                </c:pt>
                <c:pt idx="473">
                  <c:v>1.5358267949787721</c:v>
                </c:pt>
                <c:pt idx="474">
                  <c:v>1.0000000000000495</c:v>
                </c:pt>
                <c:pt idx="475">
                  <c:v>0.4641732050207602</c:v>
                </c:pt>
                <c:pt idx="476">
                  <c:v>1.90482705246605</c:v>
                </c:pt>
                <c:pt idx="477">
                  <c:v>7.8852986855610496E-3</c:v>
                </c:pt>
                <c:pt idx="478">
                  <c:v>1.7705132427757295</c:v>
                </c:pt>
                <c:pt idx="479">
                  <c:v>0.69098300562515258</c:v>
                </c:pt>
                <c:pt idx="480">
                  <c:v>0.7513101128350328</c:v>
                </c:pt>
                <c:pt idx="481">
                  <c:v>1.7289686274214988</c:v>
                </c:pt>
                <c:pt idx="482">
                  <c:v>1.7712749271285383E-2</c:v>
                </c:pt>
                <c:pt idx="483">
                  <c:v>1.9297764858881961</c:v>
                </c:pt>
                <c:pt idx="484">
                  <c:v>0.41221474770765681</c:v>
                </c:pt>
                <c:pt idx="485">
                  <c:v>1.0627905195291418</c:v>
                </c:pt>
                <c:pt idx="486">
                  <c:v>1.4817536741018755</c:v>
                </c:pt>
                <c:pt idx="487">
                  <c:v>0.12369331995604296</c:v>
                </c:pt>
                <c:pt idx="488">
                  <c:v>1.9980267284282589</c:v>
                </c:pt>
                <c:pt idx="489">
                  <c:v>0.1909830056251797</c:v>
                </c:pt>
                <c:pt idx="490">
                  <c:v>1.3681245526846779</c:v>
                </c:pt>
                <c:pt idx="491">
                  <c:v>1.1873813145859589</c:v>
                </c:pt>
                <c:pt idx="492">
                  <c:v>0.31545289407129518</c:v>
                </c:pt>
                <c:pt idx="493">
                  <c:v>1.9685831611286961</c:v>
                </c:pt>
                <c:pt idx="494">
                  <c:v>4.8943483704860145E-2</c:v>
                </c:pt>
                <c:pt idx="495">
                  <c:v>1.6374239897484717</c:v>
                </c:pt>
                <c:pt idx="496">
                  <c:v>0.87466676643576202</c:v>
                </c:pt>
                <c:pt idx="497">
                  <c:v>0.57422070843485695</c:v>
                </c:pt>
                <c:pt idx="498">
                  <c:v>1.8443279255020628</c:v>
                </c:pt>
                <c:pt idx="499">
                  <c:v>4.9969082935263091E-27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F-4B63-B9DA-C0FD108B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125704"/>
        <c:axId val="908127752"/>
      </c:scatterChart>
      <c:valAx>
        <c:axId val="90812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27752"/>
        <c:crosses val="autoZero"/>
        <c:crossBetween val="midCat"/>
      </c:valAx>
      <c:valAx>
        <c:axId val="90812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2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'Point Convergence'!$D$1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4-4508-AB3C-B4FB0E929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34440"/>
        <c:axId val="635109383"/>
      </c:scatterChart>
      <c:valAx>
        <c:axId val="119963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09383"/>
        <c:crosses val="autoZero"/>
        <c:crossBetween val="midCat"/>
      </c:valAx>
      <c:valAx>
        <c:axId val="63510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34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285750</xdr:colOff>
      <xdr:row>0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10</xdr:row>
      <xdr:rowOff>0</xdr:rowOff>
    </xdr:from>
    <xdr:to>
      <xdr:col>15</xdr:col>
      <xdr:colOff>552450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7460E-63FD-FAD8-3822-32305729A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247650</xdr:colOff>
      <xdr:row>10</xdr:row>
      <xdr:rowOff>0</xdr:rowOff>
    </xdr:from>
    <xdr:to>
      <xdr:col>15</xdr:col>
      <xdr:colOff>552450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95D32-F55B-827C-B15F-9478A3DAC6BB}"/>
            </a:ext>
            <a:ext uri="{147F2762-F138-4A5C-976F-8EAC2B608ADB}">
              <a16:predDERef xmlns:a16="http://schemas.microsoft.com/office/drawing/2014/main" pred="{F967460E-63FD-FAD8-3822-32305729A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topLeftCell="B3" workbookViewId="0">
      <selection activeCell="F11" sqref="F11"/>
    </sheetView>
  </sheetViews>
  <sheetFormatPr defaultRowHeight="15"/>
  <cols>
    <col min="2" max="2" width="10.5703125" bestFit="1" customWidth="1"/>
    <col min="3" max="3" width="9.5703125" customWidth="1"/>
    <col min="4" max="4" width="52.42578125" bestFit="1" customWidth="1"/>
    <col min="6" max="6" width="96.140625" bestFit="1" customWidth="1"/>
  </cols>
  <sheetData>
    <row r="2" spans="2:6">
      <c r="B2" s="1" t="s">
        <v>0</v>
      </c>
      <c r="C2" s="1" t="s">
        <v>1</v>
      </c>
      <c r="D2" s="1" t="s">
        <v>2</v>
      </c>
    </row>
    <row r="3" spans="2:6" ht="26.25">
      <c r="B3" t="s">
        <v>3</v>
      </c>
      <c r="C3" s="2">
        <v>0.41</v>
      </c>
      <c r="D3" t="s">
        <v>4</v>
      </c>
      <c r="F3" s="4" t="s">
        <v>5</v>
      </c>
    </row>
    <row r="4" spans="2:6" ht="45.75">
      <c r="B4" t="s">
        <v>6</v>
      </c>
      <c r="C4" s="2"/>
      <c r="D4" t="s">
        <v>7</v>
      </c>
      <c r="F4" s="8" t="s">
        <v>8</v>
      </c>
    </row>
    <row r="5" spans="2:6" ht="21">
      <c r="B5" t="s">
        <v>9</v>
      </c>
      <c r="C5" s="2">
        <v>0.5</v>
      </c>
      <c r="D5" t="s">
        <v>10</v>
      </c>
      <c r="F5" s="6" t="s">
        <v>11</v>
      </c>
    </row>
    <row r="6" spans="2:6" ht="21">
      <c r="B6" t="s">
        <v>12</v>
      </c>
      <c r="C6" s="2">
        <v>20</v>
      </c>
      <c r="D6" t="s">
        <v>13</v>
      </c>
      <c r="F6" s="6" t="s">
        <v>14</v>
      </c>
    </row>
    <row r="7" spans="2:6" ht="21">
      <c r="B7" t="s">
        <v>15</v>
      </c>
      <c r="C7" s="2">
        <v>100</v>
      </c>
      <c r="D7" t="s">
        <v>16</v>
      </c>
      <c r="F7" s="6" t="s">
        <v>17</v>
      </c>
    </row>
    <row r="8" spans="2:6" ht="21">
      <c r="B8" t="s">
        <v>18</v>
      </c>
      <c r="C8" s="2">
        <v>500</v>
      </c>
      <c r="D8" t="s">
        <v>19</v>
      </c>
      <c r="F8" s="6" t="s">
        <v>20</v>
      </c>
    </row>
    <row r="9" spans="2:6">
      <c r="B9" t="s">
        <v>21</v>
      </c>
      <c r="C9">
        <v>0</v>
      </c>
    </row>
    <row r="10" spans="2:6" ht="83.25">
      <c r="B10" t="s">
        <v>22</v>
      </c>
      <c r="C10" s="5">
        <f>C3-0.01</f>
        <v>0.39999999999999997</v>
      </c>
      <c r="F10" s="9" t="s">
        <v>23</v>
      </c>
    </row>
    <row r="11" spans="2:6" ht="62.25">
      <c r="B11" t="s">
        <v>24</v>
      </c>
      <c r="C11">
        <f>C3-0.01</f>
        <v>0.39999999999999997</v>
      </c>
      <c r="F11" s="7" t="s">
        <v>25</v>
      </c>
    </row>
    <row r="12" spans="2:6">
      <c r="B12" t="s">
        <v>26</v>
      </c>
      <c r="C12">
        <f>C3+0.01</f>
        <v>0.42</v>
      </c>
    </row>
    <row r="13" spans="2:6">
      <c r="B13" t="s">
        <v>27</v>
      </c>
      <c r="C13">
        <f>C3+0.01</f>
        <v>0.42</v>
      </c>
    </row>
    <row r="14" spans="2:6">
      <c r="B14" t="s">
        <v>28</v>
      </c>
      <c r="C14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activeCell="E3" sqref="E3"/>
    </sheetView>
  </sheetViews>
  <sheetFormatPr defaultRowHeight="15"/>
  <cols>
    <col min="2" max="2" width="17.42578125" customWidth="1"/>
    <col min="5" max="5" width="18" customWidth="1"/>
  </cols>
  <sheetData>
    <row r="1" spans="1:20">
      <c r="A1" s="3" t="s">
        <v>29</v>
      </c>
      <c r="B1" s="3" t="s">
        <v>30</v>
      </c>
      <c r="C1" s="3" t="s">
        <v>31</v>
      </c>
      <c r="D1" s="3"/>
      <c r="E1" s="3" t="s">
        <v>32</v>
      </c>
      <c r="F1" s="3" t="s">
        <v>33</v>
      </c>
      <c r="T1">
        <v>1</v>
      </c>
    </row>
    <row r="2" spans="1:20">
      <c r="A2">
        <v>1</v>
      </c>
      <c r="B2">
        <f>2*SIN(1*PI()*Dashboard!$C$3)*SIN(1*PI()*Dashboard!$C$3)</f>
        <v>1.8443279255020146</v>
      </c>
      <c r="C2">
        <f>SUM($B$2:B2)</f>
        <v>1.8443279255020146</v>
      </c>
      <c r="E2">
        <f>2*SIN(1*PI()*Dashboard!$C$3)*SIN(1*PI()*Dashboard!$C$4)</f>
        <v>0</v>
      </c>
      <c r="F2">
        <f>SUM($E$2:E2)</f>
        <v>0</v>
      </c>
      <c r="T2">
        <v>2</v>
      </c>
    </row>
    <row r="3" spans="1:20">
      <c r="A3">
        <v>2</v>
      </c>
      <c r="B3">
        <f>2*SIN(2*PI()*Dashboard!$C$3)*SIN(2*PI()*Dashboard!$C$3)</f>
        <v>0.57422070843492812</v>
      </c>
      <c r="C3">
        <f>SUM($B$2:B3)</f>
        <v>2.4185486339369429</v>
      </c>
      <c r="E3">
        <f>2*SIN(2*PI()*Dashboard!$C$3)*SIN(2*PI()*Dashboard!$C$4)</f>
        <v>0</v>
      </c>
      <c r="F3">
        <f>SUM($E$2:E3)</f>
        <v>0</v>
      </c>
    </row>
    <row r="4" spans="1:20">
      <c r="A4">
        <v>3</v>
      </c>
      <c r="B4">
        <f>2*SIN(3*PI()*Dashboard!$C$3)*SIN(3*PI()*Dashboard!$C$3)</f>
        <v>0.8746667664356953</v>
      </c>
      <c r="C4">
        <f>SUM($B$2:B4)</f>
        <v>3.2932154003726382</v>
      </c>
      <c r="E4">
        <f>2*SIN(3*PI()*Dashboard!$C$3)*SIN(3*PI()*Dashboard!$C$4)</f>
        <v>0</v>
      </c>
      <c r="F4">
        <f>SUM($E$2:E4)</f>
        <v>0</v>
      </c>
    </row>
    <row r="5" spans="1:20">
      <c r="A5">
        <v>4</v>
      </c>
      <c r="B5">
        <f>2*SIN(4*PI()*Dashboard!$C$3)*SIN(4*PI()*Dashboard!$C$3)</f>
        <v>1.6374239897486911</v>
      </c>
      <c r="C5">
        <f>SUM($B$2:B5)</f>
        <v>4.9306393901213292</v>
      </c>
      <c r="E5">
        <f>2*SIN(4*PI()*Dashboard!$C$3)*SIN(4*PI()*Dashboard!$C$4)</f>
        <v>0</v>
      </c>
      <c r="F5">
        <f>SUM($E$2:E5)</f>
        <v>0</v>
      </c>
    </row>
    <row r="6" spans="1:20">
      <c r="A6">
        <v>5</v>
      </c>
      <c r="B6">
        <f>2*SIN(5*PI()*Dashboard!$C$3)*SIN(5*PI()*Dashboard!$C$3)</f>
        <v>4.8943483704846275E-2</v>
      </c>
      <c r="C6">
        <f>SUM($B$2:B6)</f>
        <v>4.9795828738261756</v>
      </c>
      <c r="E6">
        <f>2*SIN(5*PI()*Dashboard!$C$3)*SIN(5*PI()*Dashboard!$C$4)</f>
        <v>0</v>
      </c>
      <c r="F6">
        <f>SUM($E$2:E6)</f>
        <v>0</v>
      </c>
    </row>
    <row r="7" spans="1:20">
      <c r="A7">
        <v>6</v>
      </c>
      <c r="B7">
        <f>2*SIN(6*PI()*Dashboard!$C$3)*SIN(6*PI()*Dashboard!$C$3)</f>
        <v>1.9685831611286309</v>
      </c>
      <c r="C7">
        <f>SUM($B$2:B7)</f>
        <v>6.9481660349548067</v>
      </c>
      <c r="E7">
        <f>2*SIN(6*PI()*Dashboard!$C$3)*SIN(6*PI()*Dashboard!$C$4)</f>
        <v>0</v>
      </c>
      <c r="F7">
        <f>SUM($E$2:E7)</f>
        <v>0</v>
      </c>
    </row>
    <row r="8" spans="1:20">
      <c r="A8">
        <v>7</v>
      </c>
      <c r="B8">
        <f>2*SIN(7*PI()*Dashboard!$C$3)*SIN(7*PI()*Dashboard!$C$3)</f>
        <v>0.31545289407131361</v>
      </c>
      <c r="C8">
        <f>SUM($B$2:B8)</f>
        <v>7.2636189290261202</v>
      </c>
      <c r="E8">
        <f>2*SIN(7*PI()*Dashboard!$C$3)*SIN(7*PI()*Dashboard!$C$4)</f>
        <v>0</v>
      </c>
      <c r="F8">
        <f>SUM($E$2:E8)</f>
        <v>0</v>
      </c>
    </row>
    <row r="9" spans="1:20">
      <c r="A9">
        <v>8</v>
      </c>
      <c r="B9">
        <f>2*SIN(8*PI()*Dashboard!$C$3)*SIN(8*PI()*Dashboard!$C$3)</f>
        <v>1.1873813145857208</v>
      </c>
      <c r="C9">
        <f>SUM($B$2:B9)</f>
        <v>8.4510002436118405</v>
      </c>
      <c r="E9">
        <f>2*SIN(8*PI()*Dashboard!$C$3)*SIN(8*PI()*Dashboard!$C$4)</f>
        <v>0</v>
      </c>
      <c r="F9">
        <f>SUM($E$2:E9)</f>
        <v>0</v>
      </c>
    </row>
    <row r="10" spans="1:20">
      <c r="A10">
        <v>9</v>
      </c>
      <c r="B10">
        <f>2*SIN(9*PI()*Dashboard!$C$3)*SIN(9*PI()*Dashboard!$C$3)</f>
        <v>1.3681245526846784</v>
      </c>
      <c r="C10">
        <f>SUM($B$2:B10)</f>
        <v>9.8191247962965189</v>
      </c>
      <c r="E10">
        <f>2*SIN(9*PI()*Dashboard!$C$3)*SIN(9*PI()*Dashboard!$C$4)</f>
        <v>0</v>
      </c>
      <c r="F10">
        <f>SUM($E$2:E10)</f>
        <v>0</v>
      </c>
    </row>
    <row r="11" spans="1:20">
      <c r="A11">
        <v>10</v>
      </c>
      <c r="B11">
        <f>2*SIN(10*PI()*Dashboard!$C$3)*SIN(10*PI()*Dashboard!$C$3)</f>
        <v>0.19098300562505199</v>
      </c>
      <c r="C11">
        <f>SUM($B$2:B11)</f>
        <v>10.010107801921571</v>
      </c>
      <c r="E11">
        <f>2*SIN(10*PI()*Dashboard!$C$3)*SIN(10*PI()*Dashboard!$C$4)</f>
        <v>0</v>
      </c>
      <c r="F11">
        <f>SUM($E$2:E11)</f>
        <v>0</v>
      </c>
    </row>
    <row r="12" spans="1:20">
      <c r="A12">
        <v>11</v>
      </c>
      <c r="B12">
        <f>2*SIN(11*PI()*Dashboard!$C$3)*SIN(11*PI()*Dashboard!$C$3)</f>
        <v>1.9980267284282718</v>
      </c>
      <c r="C12">
        <f>SUM($B$2:B12)</f>
        <v>12.008134530349842</v>
      </c>
      <c r="E12">
        <f>2*SIN(11*PI()*Dashboard!$C$3)*SIN(11*PI()*Dashboard!$C$4)</f>
        <v>0</v>
      </c>
      <c r="F12">
        <f>SUM($E$2:E12)</f>
        <v>0</v>
      </c>
    </row>
    <row r="13" spans="1:20">
      <c r="A13">
        <v>12</v>
      </c>
      <c r="B13">
        <f>2*SIN(12*PI()*Dashboard!$C$3)*SIN(12*PI()*Dashboard!$C$3)</f>
        <v>0.12369331995613733</v>
      </c>
      <c r="C13">
        <f>SUM($B$2:B13)</f>
        <v>12.13182785030598</v>
      </c>
      <c r="E13">
        <f>2*SIN(12*PI()*Dashboard!$C$3)*SIN(12*PI()*Dashboard!$C$4)</f>
        <v>0</v>
      </c>
      <c r="F13">
        <f>SUM($E$2:E13)</f>
        <v>0</v>
      </c>
    </row>
    <row r="14" spans="1:20">
      <c r="A14">
        <v>13</v>
      </c>
      <c r="B14">
        <f>2*SIN(13*PI()*Dashboard!$C$3)*SIN(13*PI()*Dashboard!$C$3)</f>
        <v>1.4817536741017134</v>
      </c>
      <c r="C14">
        <f>SUM($B$2:B14)</f>
        <v>13.613581524407692</v>
      </c>
      <c r="E14">
        <f>2*SIN(13*PI()*Dashboard!$C$3)*SIN(13*PI()*Dashboard!$C$4)</f>
        <v>0</v>
      </c>
      <c r="F14">
        <f>SUM($E$2:E14)</f>
        <v>0</v>
      </c>
    </row>
    <row r="15" spans="1:20">
      <c r="A15">
        <v>14</v>
      </c>
      <c r="B15">
        <f>2*SIN(14*PI()*Dashboard!$C$3)*SIN(14*PI()*Dashboard!$C$3)</f>
        <v>1.0627905195293197</v>
      </c>
      <c r="C15">
        <f>SUM($B$2:B15)</f>
        <v>14.676372043937011</v>
      </c>
      <c r="E15">
        <f>2*SIN(14*PI()*Dashboard!$C$3)*SIN(14*PI()*Dashboard!$C$4)</f>
        <v>0</v>
      </c>
      <c r="F15">
        <f>SUM($E$2:E15)</f>
        <v>0</v>
      </c>
    </row>
    <row r="16" spans="1:20">
      <c r="A16">
        <v>15</v>
      </c>
      <c r="B16">
        <f>2*SIN(15*PI()*Dashboard!$C$3)*SIN(15*PI()*Dashboard!$C$3)</f>
        <v>0.4122147477075242</v>
      </c>
      <c r="C16">
        <f>SUM($B$2:B16)</f>
        <v>15.088586791644536</v>
      </c>
      <c r="E16">
        <f>2*SIN(15*PI()*Dashboard!$C$3)*SIN(15*PI()*Dashboard!$C$4)</f>
        <v>0</v>
      </c>
      <c r="F16">
        <f>SUM($E$2:E16)</f>
        <v>0</v>
      </c>
    </row>
    <row r="17" spans="1:6">
      <c r="A17">
        <v>16</v>
      </c>
      <c r="B17">
        <f>2*SIN(16*PI()*Dashboard!$C$3)*SIN(16*PI()*Dashboard!$C$3)</f>
        <v>1.9297764858882542</v>
      </c>
      <c r="C17">
        <f>SUM($B$2:B17)</f>
        <v>17.018363277532789</v>
      </c>
      <c r="E17">
        <f>2*SIN(16*PI()*Dashboard!$C$3)*SIN(16*PI()*Dashboard!$C$4)</f>
        <v>0</v>
      </c>
      <c r="F17">
        <f>SUM($E$2:E17)</f>
        <v>0</v>
      </c>
    </row>
    <row r="18" spans="1:6">
      <c r="A18">
        <v>17</v>
      </c>
      <c r="B18">
        <f>2*SIN(17*PI()*Dashboard!$C$3)*SIN(17*PI()*Dashboard!$C$3)</f>
        <v>1.7712749271312105E-2</v>
      </c>
      <c r="C18">
        <f>SUM($B$2:B18)</f>
        <v>17.0360760268041</v>
      </c>
      <c r="E18">
        <f>2*SIN(17*PI()*Dashboard!$C$3)*SIN(17*PI()*Dashboard!$C$4)</f>
        <v>0</v>
      </c>
      <c r="F18">
        <f>SUM($E$2:E18)</f>
        <v>0</v>
      </c>
    </row>
    <row r="19" spans="1:6">
      <c r="A19">
        <v>18</v>
      </c>
      <c r="B19">
        <f>2*SIN(18*PI()*Dashboard!$C$3)*SIN(18*PI()*Dashboard!$C$3)</f>
        <v>1.7289686274214109</v>
      </c>
      <c r="C19">
        <f>SUM($B$2:B19)</f>
        <v>18.765044654225512</v>
      </c>
      <c r="E19">
        <f>2*SIN(18*PI()*Dashboard!$C$3)*SIN(18*PI()*Dashboard!$C$4)</f>
        <v>0</v>
      </c>
      <c r="F19">
        <f>SUM($E$2:E19)</f>
        <v>0</v>
      </c>
    </row>
    <row r="20" spans="1:6">
      <c r="A20">
        <v>19</v>
      </c>
      <c r="B20">
        <f>2*SIN(19*PI()*Dashboard!$C$3)*SIN(19*PI()*Dashboard!$C$3)</f>
        <v>0.75131011283515015</v>
      </c>
      <c r="C20">
        <f>SUM($B$2:B20)</f>
        <v>19.516354767060662</v>
      </c>
      <c r="E20">
        <f>2*SIN(19*PI()*Dashboard!$C$3)*SIN(19*PI()*Dashboard!$C$4)</f>
        <v>0</v>
      </c>
      <c r="F20">
        <f>SUM($E$2:E20)</f>
        <v>0</v>
      </c>
    </row>
    <row r="21" spans="1:6">
      <c r="A21">
        <v>20</v>
      </c>
      <c r="B21">
        <f>2*SIN(20*PI()*Dashboard!$C$3)*SIN(20*PI()*Dashboard!$C$3)</f>
        <v>0.69098300562505077</v>
      </c>
      <c r="C21">
        <f>SUM($B$2:B21)</f>
        <v>20.207337772685712</v>
      </c>
      <c r="E21">
        <f>2*SIN(20*PI()*Dashboard!$C$3)*SIN(20*PI()*Dashboard!$C$4)</f>
        <v>0</v>
      </c>
      <c r="F21">
        <f>SUM($E$2:E21)</f>
        <v>0</v>
      </c>
    </row>
    <row r="22" spans="1:6">
      <c r="A22">
        <v>21</v>
      </c>
      <c r="B22">
        <f>2*SIN(21*PI()*Dashboard!$C$3)*SIN(21*PI()*Dashboard!$C$3)</f>
        <v>1.7705132427757884</v>
      </c>
      <c r="C22">
        <f>SUM($B$2:B22)</f>
        <v>21.9778510154615</v>
      </c>
      <c r="E22">
        <f>2*SIN(21*PI()*Dashboard!$C$3)*SIN(21*PI()*Dashboard!$C$4)</f>
        <v>0</v>
      </c>
      <c r="F22">
        <f>SUM($E$2:E22)</f>
        <v>0</v>
      </c>
    </row>
    <row r="23" spans="1:6">
      <c r="A23">
        <v>22</v>
      </c>
      <c r="B23">
        <f>2*SIN(22*PI()*Dashboard!$C$3)*SIN(22*PI()*Dashboard!$C$3)</f>
        <v>7.8852986855209133E-3</v>
      </c>
      <c r="C23">
        <f>SUM($B$2:B23)</f>
        <v>21.985736314147022</v>
      </c>
      <c r="E23">
        <f>2*SIN(22*PI()*Dashboard!$C$3)*SIN(22*PI()*Dashboard!$C$4)</f>
        <v>0</v>
      </c>
      <c r="F23">
        <f>SUM($E$2:E23)</f>
        <v>0</v>
      </c>
    </row>
    <row r="24" spans="1:6">
      <c r="A24">
        <v>23</v>
      </c>
      <c r="B24">
        <f>2*SIN(23*PI()*Dashboard!$C$3)*SIN(23*PI()*Dashboard!$C$3)</f>
        <v>1.9048270524660167</v>
      </c>
      <c r="C24">
        <f>SUM($B$2:B24)</f>
        <v>23.890563366613041</v>
      </c>
      <c r="E24">
        <f>2*SIN(23*PI()*Dashboard!$C$3)*SIN(23*PI()*Dashboard!$C$4)</f>
        <v>0</v>
      </c>
      <c r="F24">
        <f>SUM($E$2:E24)</f>
        <v>0</v>
      </c>
    </row>
    <row r="25" spans="1:6">
      <c r="A25">
        <v>24</v>
      </c>
      <c r="B25">
        <f>2*SIN(24*PI()*Dashboard!$C$3)*SIN(24*PI()*Dashboard!$C$3)</f>
        <v>0.46417320502100656</v>
      </c>
      <c r="C25">
        <f>SUM($B$2:B25)</f>
        <v>24.354736571634046</v>
      </c>
      <c r="E25">
        <f>2*SIN(24*PI()*Dashboard!$C$3)*SIN(24*PI()*Dashboard!$C$4)</f>
        <v>0</v>
      </c>
      <c r="F25">
        <f>SUM($E$2:E25)</f>
        <v>0</v>
      </c>
    </row>
    <row r="26" spans="1:6">
      <c r="A26">
        <v>25</v>
      </c>
      <c r="B26">
        <f>2*SIN(25*PI()*Dashboard!$C$3)*SIN(25*PI()*Dashboard!$C$3)</f>
        <v>0.99999999999999234</v>
      </c>
      <c r="C26">
        <f>SUM($B$2:B26)</f>
        <v>25.354736571634039</v>
      </c>
      <c r="E26">
        <f>2*SIN(25*PI()*Dashboard!$C$3)*SIN(25*PI()*Dashboard!$C$4)</f>
        <v>0</v>
      </c>
      <c r="F26">
        <f>SUM($E$2:E26)</f>
        <v>0</v>
      </c>
    </row>
    <row r="27" spans="1:6">
      <c r="A27">
        <v>26</v>
      </c>
      <c r="B27">
        <f>2*SIN(26*PI()*Dashboard!$C$3)*SIN(26*PI()*Dashboard!$C$3)</f>
        <v>1.5358267949790005</v>
      </c>
      <c r="C27">
        <f>SUM($B$2:B27)</f>
        <v>26.890563366613041</v>
      </c>
      <c r="E27">
        <f>2*SIN(26*PI()*Dashboard!$C$3)*SIN(26*PI()*Dashboard!$C$4)</f>
        <v>0</v>
      </c>
      <c r="F27">
        <f>SUM($E$2:E27)</f>
        <v>0</v>
      </c>
    </row>
    <row r="28" spans="1:6">
      <c r="A28">
        <v>27</v>
      </c>
      <c r="B28">
        <f>2*SIN(27*PI()*Dashboard!$C$3)*SIN(27*PI()*Dashboard!$C$3)</f>
        <v>9.517294753397372E-2</v>
      </c>
      <c r="C28">
        <f>SUM($B$2:B28)</f>
        <v>26.985736314147015</v>
      </c>
      <c r="E28">
        <f>2*SIN(27*PI()*Dashboard!$C$3)*SIN(27*PI()*Dashboard!$C$4)</f>
        <v>0</v>
      </c>
      <c r="F28">
        <f>SUM($E$2:E28)</f>
        <v>0</v>
      </c>
    </row>
    <row r="29" spans="1:6">
      <c r="A29">
        <v>28</v>
      </c>
      <c r="B29">
        <f>2*SIN(28*PI()*Dashboard!$C$3)*SIN(28*PI()*Dashboard!$C$3)</f>
        <v>1.992114701314476</v>
      </c>
      <c r="C29">
        <f>SUM($B$2:B29)</f>
        <v>28.977851015461493</v>
      </c>
      <c r="E29">
        <f>2*SIN(28*PI()*Dashboard!$C$3)*SIN(28*PI()*Dashboard!$C$4)</f>
        <v>0</v>
      </c>
      <c r="F29">
        <f>SUM($E$2:E29)</f>
        <v>0</v>
      </c>
    </row>
    <row r="30" spans="1:6">
      <c r="A30">
        <v>29</v>
      </c>
      <c r="B30">
        <f>2*SIN(29*PI()*Dashboard!$C$3)*SIN(29*PI()*Dashboard!$C$3)</f>
        <v>0.22948675722421691</v>
      </c>
      <c r="C30">
        <f>SUM($B$2:B30)</f>
        <v>29.207337772685708</v>
      </c>
      <c r="E30">
        <f>2*SIN(29*PI()*Dashboard!$C$3)*SIN(29*PI()*Dashboard!$C$4)</f>
        <v>0</v>
      </c>
      <c r="F30">
        <f>SUM($E$2:E30)</f>
        <v>0</v>
      </c>
    </row>
    <row r="31" spans="1:6">
      <c r="A31">
        <v>30</v>
      </c>
      <c r="B31">
        <f>2*SIN(30*PI()*Dashboard!$C$3)*SIN(30*PI()*Dashboard!$C$3)</f>
        <v>1.309016994374941</v>
      </c>
      <c r="C31">
        <f>SUM($B$2:B31)</f>
        <v>30.516354767060648</v>
      </c>
      <c r="E31">
        <f>2*SIN(30*PI()*Dashboard!$C$3)*SIN(30*PI()*Dashboard!$C$4)</f>
        <v>0</v>
      </c>
      <c r="F31">
        <f>SUM($E$2:E31)</f>
        <v>0</v>
      </c>
    </row>
    <row r="32" spans="1:6">
      <c r="A32">
        <v>31</v>
      </c>
      <c r="B32">
        <f>2*SIN(31*PI()*Dashboard!$C$3)*SIN(31*PI()*Dashboard!$C$3)</f>
        <v>1.2486898871648717</v>
      </c>
      <c r="C32">
        <f>SUM($B$2:B32)</f>
        <v>31.76504465422552</v>
      </c>
      <c r="E32">
        <f>2*SIN(31*PI()*Dashboard!$C$3)*SIN(31*PI()*Dashboard!$C$4)</f>
        <v>0</v>
      </c>
      <c r="F32">
        <f>SUM($E$2:E32)</f>
        <v>0</v>
      </c>
    </row>
    <row r="33" spans="1:6">
      <c r="A33">
        <v>32</v>
      </c>
      <c r="B33">
        <f>2*SIN(32*PI()*Dashboard!$C$3)*SIN(32*PI()*Dashboard!$C$3)</f>
        <v>0.27103137257857851</v>
      </c>
      <c r="C33">
        <f>SUM($B$2:B33)</f>
        <v>32.036076026804096</v>
      </c>
      <c r="E33">
        <f>2*SIN(32*PI()*Dashboard!$C$3)*SIN(32*PI()*Dashboard!$C$4)</f>
        <v>0</v>
      </c>
      <c r="F33">
        <f>SUM($E$2:E33)</f>
        <v>0</v>
      </c>
    </row>
    <row r="34" spans="1:6">
      <c r="A34">
        <v>33</v>
      </c>
      <c r="B34">
        <f>2*SIN(33*PI()*Dashboard!$C$3)*SIN(33*PI()*Dashboard!$C$3)</f>
        <v>1.9822872507286908</v>
      </c>
      <c r="C34">
        <f>SUM($B$2:B34)</f>
        <v>34.018363277532785</v>
      </c>
      <c r="E34">
        <f>2*SIN(33*PI()*Dashboard!$C$3)*SIN(33*PI()*Dashboard!$C$4)</f>
        <v>0</v>
      </c>
      <c r="F34">
        <f>SUM($E$2:E34)</f>
        <v>0</v>
      </c>
    </row>
    <row r="35" spans="1:6">
      <c r="A35">
        <v>34</v>
      </c>
      <c r="B35">
        <f>2*SIN(34*PI()*Dashboard!$C$3)*SIN(34*PI()*Dashboard!$C$3)</f>
        <v>7.0223514111751692E-2</v>
      </c>
      <c r="C35">
        <f>SUM($B$2:B35)</f>
        <v>34.088586791644538</v>
      </c>
      <c r="E35">
        <f>2*SIN(34*PI()*Dashboard!$C$3)*SIN(34*PI()*Dashboard!$C$4)</f>
        <v>0</v>
      </c>
      <c r="F35">
        <f>SUM($E$2:E35)</f>
        <v>0</v>
      </c>
    </row>
    <row r="36" spans="1:6">
      <c r="A36">
        <v>35</v>
      </c>
      <c r="B36">
        <f>2*SIN(35*PI()*Dashboard!$C$3)*SIN(35*PI()*Dashboard!$C$3)</f>
        <v>1.5877852522924689</v>
      </c>
      <c r="C36">
        <f>SUM($B$2:B36)</f>
        <v>35.676372043937008</v>
      </c>
      <c r="E36">
        <f>2*SIN(35*PI()*Dashboard!$C$3)*SIN(35*PI()*Dashboard!$C$4)</f>
        <v>0</v>
      </c>
      <c r="F36">
        <f>SUM($E$2:E36)</f>
        <v>0</v>
      </c>
    </row>
    <row r="37" spans="1:6">
      <c r="A37">
        <v>36</v>
      </c>
      <c r="B37">
        <f>2*SIN(36*PI()*Dashboard!$C$3)*SIN(36*PI()*Dashboard!$C$3)</f>
        <v>0.93720948047068886</v>
      </c>
      <c r="C37">
        <f>SUM($B$2:B37)</f>
        <v>36.613581524407699</v>
      </c>
      <c r="E37">
        <f>2*SIN(36*PI()*Dashboard!$C$3)*SIN(36*PI()*Dashboard!$C$4)</f>
        <v>0</v>
      </c>
      <c r="F37">
        <f>SUM($E$2:E37)</f>
        <v>0</v>
      </c>
    </row>
    <row r="38" spans="1:6">
      <c r="A38">
        <v>37</v>
      </c>
      <c r="B38">
        <f>2*SIN(37*PI()*Dashboard!$C$3)*SIN(37*PI()*Dashboard!$C$3)</f>
        <v>0.51824632589827302</v>
      </c>
      <c r="C38">
        <f>SUM($B$2:B38)</f>
        <v>37.131827850305974</v>
      </c>
      <c r="E38">
        <f>2*SIN(37*PI()*Dashboard!$C$3)*SIN(37*PI()*Dashboard!$C$4)</f>
        <v>0</v>
      </c>
      <c r="F38">
        <f>SUM($E$2:E38)</f>
        <v>0</v>
      </c>
    </row>
    <row r="39" spans="1:6">
      <c r="A39">
        <v>38</v>
      </c>
      <c r="B39">
        <f>2*SIN(38*PI()*Dashboard!$C$3)*SIN(38*PI()*Dashboard!$C$3)</f>
        <v>1.8763066800438686</v>
      </c>
      <c r="C39">
        <f>SUM($B$2:B39)</f>
        <v>39.008134530349842</v>
      </c>
      <c r="E39">
        <f>2*SIN(38*PI()*Dashboard!$C$3)*SIN(38*PI()*Dashboard!$C$4)</f>
        <v>0</v>
      </c>
      <c r="F39">
        <f>SUM($E$2:E39)</f>
        <v>0</v>
      </c>
    </row>
    <row r="40" spans="1:6">
      <c r="A40">
        <v>39</v>
      </c>
      <c r="B40">
        <f>2*SIN(39*PI()*Dashboard!$C$3)*SIN(39*PI()*Dashboard!$C$3)</f>
        <v>1.9732715717288851E-3</v>
      </c>
      <c r="C40">
        <f>SUM($B$2:B40)</f>
        <v>39.010107801921571</v>
      </c>
      <c r="E40">
        <f>2*SIN(39*PI()*Dashboard!$C$3)*SIN(39*PI()*Dashboard!$C$4)</f>
        <v>0</v>
      </c>
      <c r="F40">
        <f>SUM($E$2:E40)</f>
        <v>0</v>
      </c>
    </row>
    <row r="41" spans="1:6">
      <c r="A41">
        <v>40</v>
      </c>
      <c r="B41">
        <f>2*SIN(40*PI()*Dashboard!$C$3)*SIN(40*PI()*Dashboard!$C$3)</f>
        <v>1.8090169943749452</v>
      </c>
      <c r="C41">
        <f>SUM($B$2:B41)</f>
        <v>40.819124796296514</v>
      </c>
      <c r="E41">
        <f>2*SIN(40*PI()*Dashboard!$C$3)*SIN(40*PI()*Dashboard!$C$4)</f>
        <v>0</v>
      </c>
      <c r="F41">
        <f>SUM($E$2:E41)</f>
        <v>0</v>
      </c>
    </row>
    <row r="42" spans="1:6">
      <c r="A42">
        <v>41</v>
      </c>
      <c r="B42">
        <f>2*SIN(41*PI()*Dashboard!$C$3)*SIN(41*PI()*Dashboard!$C$3)</f>
        <v>0.63187544731533618</v>
      </c>
      <c r="C42">
        <f>SUM($B$2:B42)</f>
        <v>41.451000243611851</v>
      </c>
      <c r="E42">
        <f>2*SIN(41*PI()*Dashboard!$C$3)*SIN(41*PI()*Dashboard!$C$4)</f>
        <v>0</v>
      </c>
      <c r="F42">
        <f>SUM($E$2:E42)</f>
        <v>0</v>
      </c>
    </row>
    <row r="43" spans="1:6">
      <c r="A43">
        <v>42</v>
      </c>
      <c r="B43">
        <f>2*SIN(42*PI()*Dashboard!$C$3)*SIN(42*PI()*Dashboard!$C$3)</f>
        <v>0.8126186854142774</v>
      </c>
      <c r="C43">
        <f>SUM($B$2:B43)</f>
        <v>42.26361892902613</v>
      </c>
      <c r="E43">
        <f>2*SIN(42*PI()*Dashboard!$C$3)*SIN(42*PI()*Dashboard!$C$4)</f>
        <v>0</v>
      </c>
      <c r="F43">
        <f>SUM($E$2:E43)</f>
        <v>0</v>
      </c>
    </row>
    <row r="44" spans="1:6">
      <c r="A44">
        <v>43</v>
      </c>
      <c r="B44">
        <f>2*SIN(43*PI()*Dashboard!$C$3)*SIN(43*PI()*Dashboard!$C$3)</f>
        <v>1.6845471059286952</v>
      </c>
      <c r="C44">
        <f>SUM($B$2:B44)</f>
        <v>43.948166034954824</v>
      </c>
      <c r="E44">
        <f>2*SIN(43*PI()*Dashboard!$C$3)*SIN(43*PI()*Dashboard!$C$4)</f>
        <v>0</v>
      </c>
      <c r="F44">
        <f>SUM($E$2:E44)</f>
        <v>0</v>
      </c>
    </row>
    <row r="45" spans="1:6">
      <c r="A45">
        <v>44</v>
      </c>
      <c r="B45">
        <f>2*SIN(44*PI()*Dashboard!$C$3)*SIN(44*PI()*Dashboard!$C$3)</f>
        <v>3.1416838871363893E-2</v>
      </c>
      <c r="C45">
        <f>SUM($B$2:B45)</f>
        <v>43.979582873826189</v>
      </c>
      <c r="E45">
        <f>2*SIN(44*PI()*Dashboard!$C$3)*SIN(44*PI()*Dashboard!$C$4)</f>
        <v>0</v>
      </c>
      <c r="F45">
        <f>SUM($E$2:E45)</f>
        <v>0</v>
      </c>
    </row>
    <row r="46" spans="1:6">
      <c r="A46">
        <v>45</v>
      </c>
      <c r="B46">
        <f>2*SIN(45*PI()*Dashboard!$C$3)*SIN(45*PI()*Dashboard!$C$3)</f>
        <v>1.951056516295153</v>
      </c>
      <c r="C46">
        <f>SUM($B$2:B46)</f>
        <v>45.930639390121343</v>
      </c>
      <c r="E46">
        <f>2*SIN(45*PI()*Dashboard!$C$3)*SIN(45*PI()*Dashboard!$C$4)</f>
        <v>0</v>
      </c>
      <c r="F46">
        <f>SUM($E$2:E46)</f>
        <v>0</v>
      </c>
    </row>
    <row r="47" spans="1:6">
      <c r="A47">
        <v>46</v>
      </c>
      <c r="B47">
        <f>2*SIN(46*PI()*Dashboard!$C$3)*SIN(46*PI()*Dashboard!$C$3)</f>
        <v>0.36257601025132097</v>
      </c>
      <c r="C47">
        <f>SUM($B$2:B47)</f>
        <v>46.293215400372667</v>
      </c>
      <c r="E47">
        <f>2*SIN(46*PI()*Dashboard!$C$3)*SIN(46*PI()*Dashboard!$C$4)</f>
        <v>0</v>
      </c>
      <c r="F47">
        <f>SUM($E$2:E47)</f>
        <v>0</v>
      </c>
    </row>
    <row r="48" spans="1:6">
      <c r="A48">
        <v>47</v>
      </c>
      <c r="B48">
        <f>2*SIN(47*PI()*Dashboard!$C$3)*SIN(47*PI()*Dashboard!$C$3)</f>
        <v>1.1253332335643078</v>
      </c>
      <c r="C48">
        <f>SUM($B$2:B48)</f>
        <v>47.418548633936972</v>
      </c>
      <c r="E48">
        <f>2*SIN(47*PI()*Dashboard!$C$3)*SIN(47*PI()*Dashboard!$C$4)</f>
        <v>0</v>
      </c>
      <c r="F48">
        <f>SUM($E$2:E48)</f>
        <v>0</v>
      </c>
    </row>
    <row r="49" spans="1:6">
      <c r="A49">
        <v>48</v>
      </c>
      <c r="B49">
        <f>2*SIN(48*PI()*Dashboard!$C$3)*SIN(48*PI()*Dashboard!$C$3)</f>
        <v>1.4257792915650798</v>
      </c>
      <c r="C49">
        <f>SUM($B$2:B49)</f>
        <v>48.84432792550205</v>
      </c>
      <c r="E49">
        <f>2*SIN(48*PI()*Dashboard!$C$3)*SIN(48*PI()*Dashboard!$C$4)</f>
        <v>0</v>
      </c>
      <c r="F49">
        <f>SUM($E$2:E49)</f>
        <v>0</v>
      </c>
    </row>
    <row r="50" spans="1:6">
      <c r="A50">
        <v>49</v>
      </c>
      <c r="B50">
        <f>2*SIN(49*PI()*Dashboard!$C$3)*SIN(49*PI()*Dashboard!$C$3)</f>
        <v>0.15567207449797485</v>
      </c>
      <c r="C50">
        <f>SUM($B$2:B50)</f>
        <v>49.000000000000021</v>
      </c>
      <c r="E50">
        <f>2*SIN(49*PI()*Dashboard!$C$3)*SIN(49*PI()*Dashboard!$C$4)</f>
        <v>0</v>
      </c>
      <c r="F50">
        <f>SUM($E$2:E50)</f>
        <v>0</v>
      </c>
    </row>
    <row r="51" spans="1:6">
      <c r="A51">
        <v>50</v>
      </c>
      <c r="B51">
        <f>2*SIN(50*PI()*Dashboard!$C$3)*SIN(50*PI()*Dashboard!$C$3)</f>
        <v>2</v>
      </c>
      <c r="C51">
        <f>SUM($B$2:B51)</f>
        <v>51.000000000000021</v>
      </c>
      <c r="E51">
        <f>2*SIN(50*PI()*Dashboard!$C$3)*SIN(50*PI()*Dashboard!$C$4)</f>
        <v>0</v>
      </c>
      <c r="F51">
        <f>SUM($E$2:E51)</f>
        <v>0</v>
      </c>
    </row>
    <row r="52" spans="1:6">
      <c r="A52">
        <v>51</v>
      </c>
      <c r="B52">
        <f>2*SIN(51*PI()*Dashboard!$C$3)*SIN(51*PI()*Dashboard!$C$3)</f>
        <v>0.15567207449799925</v>
      </c>
      <c r="C52">
        <f>SUM($B$2:B52)</f>
        <v>51.155672074498021</v>
      </c>
      <c r="E52">
        <f>2*SIN(51*PI()*Dashboard!$C$3)*SIN(51*PI()*Dashboard!$C$4)</f>
        <v>0</v>
      </c>
      <c r="F52">
        <f>SUM($E$2:E52)</f>
        <v>0</v>
      </c>
    </row>
    <row r="53" spans="1:6">
      <c r="A53">
        <v>52</v>
      </c>
      <c r="B53">
        <f>2*SIN(52*PI()*Dashboard!$C$3)*SIN(52*PI()*Dashboard!$C$3)</f>
        <v>1.425779291565064</v>
      </c>
      <c r="C53">
        <f>SUM($B$2:B53)</f>
        <v>52.581451366063085</v>
      </c>
      <c r="E53">
        <f>2*SIN(52*PI()*Dashboard!$C$3)*SIN(52*PI()*Dashboard!$C$4)</f>
        <v>0</v>
      </c>
      <c r="F53">
        <f>SUM($E$2:E53)</f>
        <v>0</v>
      </c>
    </row>
    <row r="54" spans="1:6">
      <c r="A54">
        <v>53</v>
      </c>
      <c r="B54">
        <f>2*SIN(53*PI()*Dashboard!$C$3)*SIN(53*PI()*Dashboard!$C$3)</f>
        <v>1.1253332335643247</v>
      </c>
      <c r="C54">
        <f>SUM($B$2:B54)</f>
        <v>53.706784599627412</v>
      </c>
      <c r="E54">
        <f>2*SIN(53*PI()*Dashboard!$C$3)*SIN(53*PI()*Dashboard!$C$4)</f>
        <v>0</v>
      </c>
      <c r="F54">
        <f>SUM($E$2:E54)</f>
        <v>0</v>
      </c>
    </row>
    <row r="55" spans="1:6">
      <c r="A55">
        <v>54</v>
      </c>
      <c r="B55">
        <f>2*SIN(54*PI()*Dashboard!$C$3)*SIN(54*PI()*Dashboard!$C$3)</f>
        <v>0.36257601025128583</v>
      </c>
      <c r="C55">
        <f>SUM($B$2:B55)</f>
        <v>54.0693606098787</v>
      </c>
      <c r="E55">
        <f>2*SIN(54*PI()*Dashboard!$C$3)*SIN(54*PI()*Dashboard!$C$4)</f>
        <v>0</v>
      </c>
      <c r="F55">
        <f>SUM($E$2:E55)</f>
        <v>0</v>
      </c>
    </row>
    <row r="56" spans="1:6">
      <c r="A56">
        <v>55</v>
      </c>
      <c r="B56">
        <f>2*SIN(55*PI()*Dashboard!$C$3)*SIN(55*PI()*Dashboard!$C$3)</f>
        <v>1.9510565162951581</v>
      </c>
      <c r="C56">
        <f>SUM($B$2:B56)</f>
        <v>56.020417126173861</v>
      </c>
      <c r="E56">
        <f>2*SIN(55*PI()*Dashboard!$C$3)*SIN(55*PI()*Dashboard!$C$4)</f>
        <v>0</v>
      </c>
      <c r="F56">
        <f>SUM($E$2:E56)</f>
        <v>0</v>
      </c>
    </row>
    <row r="57" spans="1:6">
      <c r="A57">
        <v>56</v>
      </c>
      <c r="B57">
        <f>2*SIN(56*PI()*Dashboard!$C$3)*SIN(56*PI()*Dashboard!$C$3)</f>
        <v>3.1416838871375231E-2</v>
      </c>
      <c r="C57">
        <f>SUM($B$2:B57)</f>
        <v>56.051833965045233</v>
      </c>
      <c r="E57">
        <f>2*SIN(56*PI()*Dashboard!$C$3)*SIN(56*PI()*Dashboard!$C$4)</f>
        <v>0</v>
      </c>
      <c r="F57">
        <f>SUM($E$2:E57)</f>
        <v>0</v>
      </c>
    </row>
    <row r="58" spans="1:6">
      <c r="A58">
        <v>57</v>
      </c>
      <c r="B58">
        <f>2*SIN(57*PI()*Dashboard!$C$3)*SIN(57*PI()*Dashboard!$C$3)</f>
        <v>1.6845471059286619</v>
      </c>
      <c r="C58">
        <f>SUM($B$2:B58)</f>
        <v>57.736381070973898</v>
      </c>
      <c r="E58">
        <f>2*SIN(57*PI()*Dashboard!$C$3)*SIN(57*PI()*Dashboard!$C$4)</f>
        <v>0</v>
      </c>
      <c r="F58">
        <f>SUM($E$2:E58)</f>
        <v>0</v>
      </c>
    </row>
    <row r="59" spans="1:6">
      <c r="A59">
        <v>58</v>
      </c>
      <c r="B59">
        <f>2*SIN(58*PI()*Dashboard!$C$3)*SIN(58*PI()*Dashboard!$C$3)</f>
        <v>0.81261868541429438</v>
      </c>
      <c r="C59">
        <f>SUM($B$2:B59)</f>
        <v>58.548999756388191</v>
      </c>
      <c r="E59">
        <f>2*SIN(58*PI()*Dashboard!$C$3)*SIN(58*PI()*Dashboard!$C$4)</f>
        <v>0</v>
      </c>
      <c r="F59">
        <f>SUM($E$2:E59)</f>
        <v>0</v>
      </c>
    </row>
    <row r="60" spans="1:6">
      <c r="A60">
        <v>59</v>
      </c>
      <c r="B60">
        <f>2*SIN(59*PI()*Dashboard!$C$3)*SIN(59*PI()*Dashboard!$C$3)</f>
        <v>0.63187544731529377</v>
      </c>
      <c r="C60">
        <f>SUM($B$2:B60)</f>
        <v>59.180875203703486</v>
      </c>
      <c r="E60">
        <f>2*SIN(59*PI()*Dashboard!$C$3)*SIN(59*PI()*Dashboard!$C$4)</f>
        <v>0</v>
      </c>
      <c r="F60">
        <f>SUM($E$2:E60)</f>
        <v>0</v>
      </c>
    </row>
    <row r="61" spans="1:6">
      <c r="A61">
        <v>60</v>
      </c>
      <c r="B61">
        <f>2*SIN(60*PI()*Dashboard!$C$3)*SIN(60*PI()*Dashboard!$C$3)</f>
        <v>1.8090169943749552</v>
      </c>
      <c r="C61">
        <f>SUM($B$2:B61)</f>
        <v>60.989892198078444</v>
      </c>
      <c r="E61">
        <f>2*SIN(60*PI()*Dashboard!$C$3)*SIN(60*PI()*Dashboard!$C$4)</f>
        <v>0</v>
      </c>
      <c r="F61">
        <f>SUM($E$2:E61)</f>
        <v>0</v>
      </c>
    </row>
    <row r="62" spans="1:6">
      <c r="A62">
        <v>61</v>
      </c>
      <c r="B62">
        <f>2*SIN(61*PI()*Dashboard!$C$3)*SIN(61*PI()*Dashboard!$C$3)</f>
        <v>1.9732715717269158E-3</v>
      </c>
      <c r="C62">
        <f>SUM($B$2:B62)</f>
        <v>60.991865469650172</v>
      </c>
      <c r="E62">
        <f>2*SIN(61*PI()*Dashboard!$C$3)*SIN(61*PI()*Dashboard!$C$4)</f>
        <v>0</v>
      </c>
      <c r="F62">
        <f>SUM($E$2:E62)</f>
        <v>0</v>
      </c>
    </row>
    <row r="63" spans="1:6">
      <c r="A63">
        <v>62</v>
      </c>
      <c r="B63">
        <f>2*SIN(62*PI()*Dashboard!$C$3)*SIN(62*PI()*Dashboard!$C$3)</f>
        <v>1.8763066800438466</v>
      </c>
      <c r="C63">
        <f>SUM($B$2:B63)</f>
        <v>62.868172149694018</v>
      </c>
      <c r="E63">
        <f>2*SIN(62*PI()*Dashboard!$C$3)*SIN(62*PI()*Dashboard!$C$4)</f>
        <v>0</v>
      </c>
      <c r="F63">
        <f>SUM($E$2:E63)</f>
        <v>0</v>
      </c>
    </row>
    <row r="64" spans="1:6">
      <c r="A64">
        <v>63</v>
      </c>
      <c r="B64">
        <f>2*SIN(63*PI()*Dashboard!$C$3)*SIN(63*PI()*Dashboard!$C$3)</f>
        <v>0.51824632589830055</v>
      </c>
      <c r="C64">
        <f>SUM($B$2:B64)</f>
        <v>63.386418475592322</v>
      </c>
      <c r="E64">
        <f>2*SIN(63*PI()*Dashboard!$C$3)*SIN(63*PI()*Dashboard!$C$4)</f>
        <v>0</v>
      </c>
      <c r="F64">
        <f>SUM($E$2:E64)</f>
        <v>0</v>
      </c>
    </row>
    <row r="65" spans="1:6">
      <c r="A65">
        <v>64</v>
      </c>
      <c r="B65">
        <f>2*SIN(64*PI()*Dashboard!$C$3)*SIN(64*PI()*Dashboard!$C$3)</f>
        <v>0.93720948047065755</v>
      </c>
      <c r="C65">
        <f>SUM($B$2:B65)</f>
        <v>64.323627956062978</v>
      </c>
      <c r="E65">
        <f>2*SIN(64*PI()*Dashboard!$C$3)*SIN(64*PI()*Dashboard!$C$4)</f>
        <v>0</v>
      </c>
      <c r="F65">
        <f>SUM($E$2:E65)</f>
        <v>0</v>
      </c>
    </row>
    <row r="66" spans="1:6">
      <c r="A66">
        <v>65</v>
      </c>
      <c r="B66">
        <f>2*SIN(65*PI()*Dashboard!$C$3)*SIN(65*PI()*Dashboard!$C$3)</f>
        <v>1.5877852522924827</v>
      </c>
      <c r="C66">
        <f>SUM($B$2:B66)</f>
        <v>65.911413208355455</v>
      </c>
      <c r="E66">
        <f>2*SIN(65*PI()*Dashboard!$C$3)*SIN(65*PI()*Dashboard!$C$4)</f>
        <v>0</v>
      </c>
      <c r="F66">
        <f>SUM($E$2:E66)</f>
        <v>0</v>
      </c>
    </row>
    <row r="67" spans="1:6">
      <c r="A67">
        <v>66</v>
      </c>
      <c r="B67">
        <f>2*SIN(66*PI()*Dashboard!$C$3)*SIN(66*PI()*Dashboard!$C$3)</f>
        <v>7.0223514111740146E-2</v>
      </c>
      <c r="C67">
        <f>SUM($B$2:B67)</f>
        <v>65.981636722467201</v>
      </c>
      <c r="E67">
        <f>2*SIN(66*PI()*Dashboard!$C$3)*SIN(66*PI()*Dashboard!$C$4)</f>
        <v>0</v>
      </c>
      <c r="F67">
        <f>SUM($E$2:E67)</f>
        <v>0</v>
      </c>
    </row>
    <row r="68" spans="1:6">
      <c r="A68">
        <v>67</v>
      </c>
      <c r="B68">
        <f>2*SIN(67*PI()*Dashboard!$C$3)*SIN(67*PI()*Dashboard!$C$3)</f>
        <v>1.9822872507286824</v>
      </c>
      <c r="C68">
        <f>SUM($B$2:B68)</f>
        <v>67.96392397319589</v>
      </c>
      <c r="E68">
        <f>2*SIN(67*PI()*Dashboard!$C$3)*SIN(67*PI()*Dashboard!$C$4)</f>
        <v>0</v>
      </c>
      <c r="F68">
        <f>SUM($E$2:E68)</f>
        <v>0</v>
      </c>
    </row>
    <row r="69" spans="1:6">
      <c r="A69">
        <v>68</v>
      </c>
      <c r="B69">
        <f>2*SIN(68*PI()*Dashboard!$C$3)*SIN(68*PI()*Dashboard!$C$3)</f>
        <v>0.27103137257859994</v>
      </c>
      <c r="C69">
        <f>SUM($B$2:B69)</f>
        <v>68.234955345774495</v>
      </c>
      <c r="E69">
        <f>2*SIN(68*PI()*Dashboard!$C$3)*SIN(68*PI()*Dashboard!$C$4)</f>
        <v>0</v>
      </c>
      <c r="F69">
        <f>SUM($E$2:E69)</f>
        <v>0</v>
      </c>
    </row>
    <row r="70" spans="1:6">
      <c r="A70">
        <v>69</v>
      </c>
      <c r="B70">
        <f>2*SIN(69*PI()*Dashboard!$C$3)*SIN(69*PI()*Dashboard!$C$3)</f>
        <v>1.248689887164828</v>
      </c>
      <c r="C70">
        <f>SUM($B$2:B70)</f>
        <v>69.483645232939324</v>
      </c>
      <c r="E70">
        <f>2*SIN(69*PI()*Dashboard!$C$3)*SIN(69*PI()*Dashboard!$C$4)</f>
        <v>0</v>
      </c>
      <c r="F70">
        <f>SUM($E$2:E70)</f>
        <v>0</v>
      </c>
    </row>
    <row r="71" spans="1:6">
      <c r="A71">
        <v>70</v>
      </c>
      <c r="B71">
        <f>2*SIN(70*PI()*Dashboard!$C$3)*SIN(70*PI()*Dashboard!$C$3)</f>
        <v>1.3090169943749577</v>
      </c>
      <c r="C71">
        <f>SUM($B$2:B71)</f>
        <v>70.792662227314281</v>
      </c>
      <c r="E71">
        <f>2*SIN(70*PI()*Dashboard!$C$3)*SIN(70*PI()*Dashboard!$C$4)</f>
        <v>0</v>
      </c>
      <c r="F71">
        <f>SUM($E$2:E71)</f>
        <v>0</v>
      </c>
    </row>
    <row r="72" spans="1:6">
      <c r="A72">
        <v>71</v>
      </c>
      <c r="B72">
        <f>2*SIN(71*PI()*Dashboard!$C$3)*SIN(71*PI()*Dashboard!$C$3)</f>
        <v>0.22948675722419692</v>
      </c>
      <c r="C72">
        <f>SUM($B$2:B72)</f>
        <v>71.022148984538475</v>
      </c>
      <c r="E72">
        <f>2*SIN(71*PI()*Dashboard!$C$3)*SIN(71*PI()*Dashboard!$C$4)</f>
        <v>0</v>
      </c>
      <c r="F72">
        <f>SUM($E$2:E72)</f>
        <v>0</v>
      </c>
    </row>
    <row r="73" spans="1:6">
      <c r="A73">
        <v>72</v>
      </c>
      <c r="B73">
        <f>2*SIN(72*PI()*Dashboard!$C$3)*SIN(72*PI()*Dashboard!$C$3)</f>
        <v>1.9921147013144782</v>
      </c>
      <c r="C73">
        <f>SUM($B$2:B73)</f>
        <v>73.014263685852953</v>
      </c>
      <c r="E73">
        <f>2*SIN(72*PI()*Dashboard!$C$3)*SIN(72*PI()*Dashboard!$C$4)</f>
        <v>0</v>
      </c>
      <c r="F73">
        <f>SUM($E$2:E73)</f>
        <v>0</v>
      </c>
    </row>
    <row r="74" spans="1:6">
      <c r="A74">
        <v>73</v>
      </c>
      <c r="B74">
        <f>2*SIN(73*PI()*Dashboard!$C$3)*SIN(73*PI()*Dashboard!$C$3)</f>
        <v>9.5172947533987071E-2</v>
      </c>
      <c r="C74">
        <f>SUM($B$2:B74)</f>
        <v>73.109436633386935</v>
      </c>
      <c r="E74">
        <f>2*SIN(73*PI()*Dashboard!$C$3)*SIN(73*PI()*Dashboard!$C$4)</f>
        <v>0</v>
      </c>
      <c r="F74">
        <f>SUM($E$2:E74)</f>
        <v>0</v>
      </c>
    </row>
    <row r="75" spans="1:6">
      <c r="A75">
        <v>74</v>
      </c>
      <c r="B75">
        <f>2*SIN(74*PI()*Dashboard!$C$3)*SIN(74*PI()*Dashboard!$C$3)</f>
        <v>1.5358267949789741</v>
      </c>
      <c r="C75">
        <f>SUM($B$2:B75)</f>
        <v>74.645263428365908</v>
      </c>
      <c r="E75">
        <f>2*SIN(74*PI()*Dashboard!$C$3)*SIN(74*PI()*Dashboard!$C$4)</f>
        <v>0</v>
      </c>
      <c r="F75">
        <f>SUM($E$2:E75)</f>
        <v>0</v>
      </c>
    </row>
    <row r="76" spans="1:6">
      <c r="A76">
        <v>75</v>
      </c>
      <c r="B76">
        <f>2*SIN(75*PI()*Dashboard!$C$3)*SIN(75*PI()*Dashboard!$C$3)</f>
        <v>1.0000000000000093</v>
      </c>
      <c r="C76">
        <f>SUM($B$2:B76)</f>
        <v>75.645263428365922</v>
      </c>
      <c r="E76">
        <f>2*SIN(75*PI()*Dashboard!$C$3)*SIN(75*PI()*Dashboard!$C$4)</f>
        <v>0</v>
      </c>
      <c r="F76">
        <f>SUM($E$2:E76)</f>
        <v>0</v>
      </c>
    </row>
    <row r="77" spans="1:6">
      <c r="A77">
        <v>76</v>
      </c>
      <c r="B77">
        <f>2*SIN(76*PI()*Dashboard!$C$3)*SIN(76*PI()*Dashboard!$C$3)</f>
        <v>0.46417320502098613</v>
      </c>
      <c r="C77">
        <f>SUM($B$2:B77)</f>
        <v>76.109436633386906</v>
      </c>
      <c r="E77">
        <f>2*SIN(76*PI()*Dashboard!$C$3)*SIN(76*PI()*Dashboard!$C$4)</f>
        <v>0</v>
      </c>
      <c r="F77">
        <f>SUM($E$2:E77)</f>
        <v>0</v>
      </c>
    </row>
    <row r="78" spans="1:6">
      <c r="A78">
        <v>77</v>
      </c>
      <c r="B78">
        <f>2*SIN(77*PI()*Dashboard!$C$3)*SIN(77*PI()*Dashboard!$C$3)</f>
        <v>1.9048270524660209</v>
      </c>
      <c r="C78">
        <f>SUM($B$2:B78)</f>
        <v>78.014263685852924</v>
      </c>
      <c r="E78">
        <f>2*SIN(77*PI()*Dashboard!$C$3)*SIN(77*PI()*Dashboard!$C$4)</f>
        <v>0</v>
      </c>
      <c r="F78">
        <f>SUM($E$2:E78)</f>
        <v>0</v>
      </c>
    </row>
    <row r="79" spans="1:6">
      <c r="A79">
        <v>78</v>
      </c>
      <c r="B79">
        <f>2*SIN(78*PI()*Dashboard!$C$3)*SIN(78*PI()*Dashboard!$C$3)</f>
        <v>7.8852986855239525E-3</v>
      </c>
      <c r="C79">
        <f>SUM($B$2:B79)</f>
        <v>78.022148984538447</v>
      </c>
      <c r="E79">
        <f>2*SIN(78*PI()*Dashboard!$C$3)*SIN(78*PI()*Dashboard!$C$4)</f>
        <v>0</v>
      </c>
      <c r="F79">
        <f>SUM($E$2:E79)</f>
        <v>0</v>
      </c>
    </row>
    <row r="80" spans="1:6">
      <c r="A80">
        <v>79</v>
      </c>
      <c r="B80">
        <f>2*SIN(79*PI()*Dashboard!$C$3)*SIN(79*PI()*Dashboard!$C$3)</f>
        <v>1.7705132427757728</v>
      </c>
      <c r="C80">
        <f>SUM($B$2:B80)</f>
        <v>79.792662227314224</v>
      </c>
      <c r="E80">
        <f>2*SIN(79*PI()*Dashboard!$C$3)*SIN(79*PI()*Dashboard!$C$4)</f>
        <v>0</v>
      </c>
      <c r="F80">
        <f>SUM($E$2:E80)</f>
        <v>0</v>
      </c>
    </row>
    <row r="81" spans="1:6">
      <c r="A81">
        <v>80</v>
      </c>
      <c r="B81">
        <f>2*SIN(80*PI()*Dashboard!$C$3)*SIN(80*PI()*Dashboard!$C$3)</f>
        <v>0.69098300562506021</v>
      </c>
      <c r="C81">
        <f>SUM($B$2:B81)</f>
        <v>80.483645232939281</v>
      </c>
      <c r="E81">
        <f>2*SIN(80*PI()*Dashboard!$C$3)*SIN(80*PI()*Dashboard!$C$4)</f>
        <v>0</v>
      </c>
      <c r="F81">
        <f>SUM($E$2:E81)</f>
        <v>0</v>
      </c>
    </row>
    <row r="82" spans="1:6">
      <c r="A82">
        <v>81</v>
      </c>
      <c r="B82">
        <f>2*SIN(81*PI()*Dashboard!$C$3)*SIN(81*PI()*Dashboard!$C$3)</f>
        <v>0.75131011283512672</v>
      </c>
      <c r="C82">
        <f>SUM($B$2:B82)</f>
        <v>81.234955345774409</v>
      </c>
      <c r="E82">
        <f>2*SIN(81*PI()*Dashboard!$C$3)*SIN(81*PI()*Dashboard!$C$4)</f>
        <v>0</v>
      </c>
      <c r="F82">
        <f>SUM($E$2:E82)</f>
        <v>0</v>
      </c>
    </row>
    <row r="83" spans="1:6">
      <c r="A83">
        <v>82</v>
      </c>
      <c r="B83">
        <f>2*SIN(82*PI()*Dashboard!$C$3)*SIN(82*PI()*Dashboard!$C$3)</f>
        <v>1.7289686274214324</v>
      </c>
      <c r="C83">
        <f>SUM($B$2:B83)</f>
        <v>82.963923973195847</v>
      </c>
      <c r="E83">
        <f>2*SIN(82*PI()*Dashboard!$C$3)*SIN(82*PI()*Dashboard!$C$4)</f>
        <v>0</v>
      </c>
      <c r="F83">
        <f>SUM($E$2:E83)</f>
        <v>0</v>
      </c>
    </row>
    <row r="84" spans="1:6">
      <c r="A84">
        <v>83</v>
      </c>
      <c r="B84">
        <f>2*SIN(83*PI()*Dashboard!$C$3)*SIN(83*PI()*Dashboard!$C$3)</f>
        <v>1.7712749271308892E-2</v>
      </c>
      <c r="C84">
        <f>SUM($B$2:B84)</f>
        <v>82.981636722467158</v>
      </c>
      <c r="E84">
        <f>2*SIN(83*PI()*Dashboard!$C$3)*SIN(83*PI()*Dashboard!$C$4)</f>
        <v>0</v>
      </c>
      <c r="F84">
        <f>SUM($E$2:E84)</f>
        <v>0</v>
      </c>
    </row>
    <row r="85" spans="1:6">
      <c r="A85">
        <v>84</v>
      </c>
      <c r="B85">
        <f>2*SIN(84*PI()*Dashboard!$C$3)*SIN(84*PI()*Dashboard!$C$3)</f>
        <v>1.9297764858882529</v>
      </c>
      <c r="C85">
        <f>SUM($B$2:B85)</f>
        <v>84.911413208355413</v>
      </c>
      <c r="E85">
        <f>2*SIN(84*PI()*Dashboard!$C$3)*SIN(84*PI()*Dashboard!$C$4)</f>
        <v>0</v>
      </c>
      <c r="F85">
        <f>SUM($E$2:E85)</f>
        <v>0</v>
      </c>
    </row>
    <row r="86" spans="1:6">
      <c r="A86">
        <v>85</v>
      </c>
      <c r="B86">
        <f>2*SIN(85*PI()*Dashboard!$C$3)*SIN(85*PI()*Dashboard!$C$3)</f>
        <v>0.41221474770753236</v>
      </c>
      <c r="C86">
        <f>SUM($B$2:B86)</f>
        <v>85.32362795606295</v>
      </c>
      <c r="E86">
        <f>2*SIN(85*PI()*Dashboard!$C$3)*SIN(85*PI()*Dashboard!$C$4)</f>
        <v>0</v>
      </c>
      <c r="F86">
        <f>SUM($E$2:E86)</f>
        <v>0</v>
      </c>
    </row>
    <row r="87" spans="1:6">
      <c r="A87">
        <v>86</v>
      </c>
      <c r="B87">
        <f>2*SIN(86*PI()*Dashboard!$C$3)*SIN(86*PI()*Dashboard!$C$3)</f>
        <v>1.0627905195292957</v>
      </c>
      <c r="C87">
        <f>SUM($B$2:B87)</f>
        <v>86.386418475592251</v>
      </c>
      <c r="E87">
        <f>2*SIN(86*PI()*Dashboard!$C$3)*SIN(86*PI()*Dashboard!$C$4)</f>
        <v>0</v>
      </c>
      <c r="F87">
        <f>SUM($E$2:E87)</f>
        <v>0</v>
      </c>
    </row>
    <row r="88" spans="1:6">
      <c r="A88">
        <v>87</v>
      </c>
      <c r="B88">
        <f>2*SIN(87*PI()*Dashboard!$C$3)*SIN(87*PI()*Dashboard!$C$3)</f>
        <v>1.4817536741017405</v>
      </c>
      <c r="C88">
        <f>SUM($B$2:B88)</f>
        <v>87.86817214969399</v>
      </c>
      <c r="E88">
        <f>2*SIN(87*PI()*Dashboard!$C$3)*SIN(87*PI()*Dashboard!$C$4)</f>
        <v>0</v>
      </c>
      <c r="F88">
        <f>SUM($E$2:E88)</f>
        <v>0</v>
      </c>
    </row>
    <row r="89" spans="1:6">
      <c r="A89">
        <v>88</v>
      </c>
      <c r="B89">
        <f>2*SIN(88*PI()*Dashboard!$C$3)*SIN(88*PI()*Dashboard!$C$3)</f>
        <v>0.1236933199561171</v>
      </c>
      <c r="C89">
        <f>SUM($B$2:B89)</f>
        <v>87.991865469650108</v>
      </c>
      <c r="E89">
        <f>2*SIN(88*PI()*Dashboard!$C$3)*SIN(88*PI()*Dashboard!$C$4)</f>
        <v>0</v>
      </c>
      <c r="F89">
        <f>SUM($E$2:E89)</f>
        <v>0</v>
      </c>
    </row>
    <row r="90" spans="1:6">
      <c r="A90">
        <v>89</v>
      </c>
      <c r="B90">
        <f>2*SIN(89*PI()*Dashboard!$C$3)*SIN(89*PI()*Dashboard!$C$3)</f>
        <v>1.9980267284282718</v>
      </c>
      <c r="C90">
        <f>SUM($B$2:B90)</f>
        <v>89.98989219807838</v>
      </c>
      <c r="E90">
        <f>2*SIN(89*PI()*Dashboard!$C$3)*SIN(89*PI()*Dashboard!$C$4)</f>
        <v>0</v>
      </c>
      <c r="F90">
        <f>SUM($E$2:E90)</f>
        <v>0</v>
      </c>
    </row>
    <row r="91" spans="1:6">
      <c r="A91">
        <v>90</v>
      </c>
      <c r="B91">
        <f>2*SIN(90*PI()*Dashboard!$C$3)*SIN(90*PI()*Dashboard!$C$3)</f>
        <v>0.19098300562505582</v>
      </c>
      <c r="C91">
        <f>SUM($B$2:B91)</f>
        <v>90.180875203703437</v>
      </c>
      <c r="E91">
        <f>2*SIN(90*PI()*Dashboard!$C$3)*SIN(90*PI()*Dashboard!$C$4)</f>
        <v>0</v>
      </c>
      <c r="F91">
        <f>SUM($E$2:E91)</f>
        <v>0</v>
      </c>
    </row>
    <row r="92" spans="1:6">
      <c r="A92">
        <v>91</v>
      </c>
      <c r="B92">
        <f>2*SIN(91*PI()*Dashboard!$C$3)*SIN(91*PI()*Dashboard!$C$3)</f>
        <v>1.3681245526846626</v>
      </c>
      <c r="C92">
        <f>SUM($B$2:B92)</f>
        <v>91.548999756388099</v>
      </c>
      <c r="E92">
        <f>2*SIN(91*PI()*Dashboard!$C$3)*SIN(91*PI()*Dashboard!$C$4)</f>
        <v>0</v>
      </c>
      <c r="F92">
        <f>SUM($E$2:E92)</f>
        <v>0</v>
      </c>
    </row>
    <row r="93" spans="1:6">
      <c r="A93">
        <v>92</v>
      </c>
      <c r="B93">
        <f>2*SIN(92*PI()*Dashboard!$C$3)*SIN(92*PI()*Dashboard!$C$3)</f>
        <v>1.1873813145857517</v>
      </c>
      <c r="C93">
        <f>SUM($B$2:B93)</f>
        <v>92.736381070973849</v>
      </c>
      <c r="E93">
        <f>2*SIN(92*PI()*Dashboard!$C$3)*SIN(92*PI()*Dashboard!$C$4)</f>
        <v>0</v>
      </c>
      <c r="F93">
        <f>SUM($E$2:E93)</f>
        <v>0</v>
      </c>
    </row>
    <row r="94" spans="1:6">
      <c r="A94">
        <v>93</v>
      </c>
      <c r="B94">
        <f>2*SIN(93*PI()*Dashboard!$C$3)*SIN(93*PI()*Dashboard!$C$3)</f>
        <v>0.31545289407128302</v>
      </c>
      <c r="C94">
        <f>SUM($B$2:B94)</f>
        <v>93.051833965045134</v>
      </c>
      <c r="E94">
        <f>2*SIN(93*PI()*Dashboard!$C$3)*SIN(93*PI()*Dashboard!$C$4)</f>
        <v>0</v>
      </c>
      <c r="F94">
        <f>SUM($E$2:E94)</f>
        <v>0</v>
      </c>
    </row>
    <row r="95" spans="1:6">
      <c r="A95">
        <v>94</v>
      </c>
      <c r="B95">
        <f>2*SIN(94*PI()*Dashboard!$C$3)*SIN(94*PI()*Dashboard!$C$3)</f>
        <v>1.9685831611286295</v>
      </c>
      <c r="C95">
        <f>SUM($B$2:B95)</f>
        <v>95.020417126173768</v>
      </c>
      <c r="E95">
        <f>2*SIN(94*PI()*Dashboard!$C$3)*SIN(94*PI()*Dashboard!$C$4)</f>
        <v>0</v>
      </c>
      <c r="F95">
        <f>SUM($E$2:E95)</f>
        <v>0</v>
      </c>
    </row>
    <row r="96" spans="1:6">
      <c r="A96">
        <v>95</v>
      </c>
      <c r="B96">
        <f>2*SIN(95*PI()*Dashboard!$C$3)*SIN(95*PI()*Dashboard!$C$3)</f>
        <v>4.8943483704847732E-2</v>
      </c>
      <c r="C96">
        <f>SUM($B$2:B96)</f>
        <v>95.069360609878615</v>
      </c>
      <c r="E96">
        <f>2*SIN(95*PI()*Dashboard!$C$3)*SIN(95*PI()*Dashboard!$C$4)</f>
        <v>0</v>
      </c>
      <c r="F96">
        <f>SUM($E$2:E96)</f>
        <v>0</v>
      </c>
    </row>
    <row r="97" spans="1:6">
      <c r="A97">
        <v>96</v>
      </c>
      <c r="B97">
        <f>2*SIN(96*PI()*Dashboard!$C$3)*SIN(96*PI()*Dashboard!$C$3)</f>
        <v>1.6374239897486778</v>
      </c>
      <c r="C97">
        <f>SUM($B$2:B97)</f>
        <v>96.706784599627298</v>
      </c>
      <c r="E97">
        <f>2*SIN(96*PI()*Dashboard!$C$3)*SIN(96*PI()*Dashboard!$C$4)</f>
        <v>0</v>
      </c>
      <c r="F97">
        <f>SUM($E$2:E97)</f>
        <v>0</v>
      </c>
    </row>
    <row r="98" spans="1:6">
      <c r="A98">
        <v>97</v>
      </c>
      <c r="B98">
        <f>2*SIN(97*PI()*Dashboard!$C$3)*SIN(97*PI()*Dashboard!$C$3)</f>
        <v>0.87466676643572205</v>
      </c>
      <c r="C98">
        <f>SUM($B$2:B98)</f>
        <v>97.581451366063021</v>
      </c>
      <c r="E98">
        <f>2*SIN(97*PI()*Dashboard!$C$3)*SIN(97*PI()*Dashboard!$C$4)</f>
        <v>0</v>
      </c>
      <c r="F98">
        <f>SUM($E$2:E98)</f>
        <v>0</v>
      </c>
    </row>
    <row r="99" spans="1:6">
      <c r="A99">
        <v>98</v>
      </c>
      <c r="B99">
        <f>2*SIN(98*PI()*Dashboard!$C$3)*SIN(98*PI()*Dashboard!$C$3)</f>
        <v>0.57422070843489337</v>
      </c>
      <c r="C99">
        <f>SUM($B$2:B99)</f>
        <v>98.155672074497915</v>
      </c>
      <c r="E99">
        <f>2*SIN(98*PI()*Dashboard!$C$3)*SIN(98*PI()*Dashboard!$C$4)</f>
        <v>0</v>
      </c>
      <c r="F99">
        <f>SUM($E$2:E99)</f>
        <v>0</v>
      </c>
    </row>
    <row r="100" spans="1:6">
      <c r="A100">
        <v>99</v>
      </c>
      <c r="B100">
        <f>2*SIN(99*PI()*Dashboard!$C$3)*SIN(99*PI()*Dashboard!$C$3)</f>
        <v>1.8443279255020109</v>
      </c>
      <c r="C100">
        <f>SUM($B$2:B100)</f>
        <v>99.999999999999929</v>
      </c>
      <c r="E100">
        <f>2*SIN(99*PI()*Dashboard!$C$3)*SIN(99*PI()*Dashboard!$C$4)</f>
        <v>0</v>
      </c>
      <c r="F100">
        <f>SUM($E$2:E100)</f>
        <v>0</v>
      </c>
    </row>
    <row r="101" spans="1:6">
      <c r="A101">
        <v>100</v>
      </c>
      <c r="B101">
        <f>2*SIN(100*PI()*Dashboard!$C$3)*SIN(100*PI()*Dashboard!$C$3)</f>
        <v>4.9180318440327152E-28</v>
      </c>
      <c r="C101">
        <f>SUM($B$2:B101)</f>
        <v>99.999999999999929</v>
      </c>
      <c r="E101">
        <f>2*SIN(100*PI()*Dashboard!$C$3)*SIN(100*PI()*Dashboard!$C$4)</f>
        <v>0</v>
      </c>
      <c r="F101">
        <f>SUM($E$2:E101)</f>
        <v>0</v>
      </c>
    </row>
    <row r="102" spans="1:6">
      <c r="A102">
        <v>101</v>
      </c>
      <c r="B102">
        <f>2*SIN(101*PI()*Dashboard!$C$3)*SIN(101*PI()*Dashboard!$C$3)</f>
        <v>1.8443279255019924</v>
      </c>
      <c r="C102">
        <f>SUM($B$2:B102)</f>
        <v>101.84432792550191</v>
      </c>
      <c r="E102">
        <f>2*SIN(101*PI()*Dashboard!$C$3)*SIN(101*PI()*Dashboard!$C$4)</f>
        <v>0</v>
      </c>
      <c r="F102">
        <f>SUM($E$2:E102)</f>
        <v>0</v>
      </c>
    </row>
    <row r="103" spans="1:6">
      <c r="A103">
        <v>102</v>
      </c>
      <c r="B103">
        <f>2*SIN(102*PI()*Dashboard!$C$3)*SIN(102*PI()*Dashboard!$C$3)</f>
        <v>0.57422070843497575</v>
      </c>
      <c r="C103">
        <f>SUM($B$2:B103)</f>
        <v>102.41854863393689</v>
      </c>
      <c r="E103">
        <f>2*SIN(102*PI()*Dashboard!$C$3)*SIN(102*PI()*Dashboard!$C$4)</f>
        <v>0</v>
      </c>
      <c r="F103">
        <f>SUM($E$2:E103)</f>
        <v>0</v>
      </c>
    </row>
    <row r="104" spans="1:6">
      <c r="A104">
        <v>103</v>
      </c>
      <c r="B104">
        <f>2*SIN(103*PI()*Dashboard!$C$3)*SIN(103*PI()*Dashboard!$C$3)</f>
        <v>0.87466676643563157</v>
      </c>
      <c r="C104">
        <f>SUM($B$2:B104)</f>
        <v>103.29321540037253</v>
      </c>
      <c r="E104">
        <f>2*SIN(103*PI()*Dashboard!$C$3)*SIN(103*PI()*Dashboard!$C$4)</f>
        <v>0</v>
      </c>
      <c r="F104">
        <f>SUM($E$2:E104)</f>
        <v>0</v>
      </c>
    </row>
    <row r="105" spans="1:6">
      <c r="A105">
        <v>104</v>
      </c>
      <c r="B105">
        <f>2*SIN(104*PI()*Dashboard!$C$3)*SIN(104*PI()*Dashboard!$C$3)</f>
        <v>1.6374239897487044</v>
      </c>
      <c r="C105">
        <f>SUM($B$2:B105)</f>
        <v>104.93063939012123</v>
      </c>
      <c r="E105">
        <f>2*SIN(104*PI()*Dashboard!$C$3)*SIN(104*PI()*Dashboard!$C$4)</f>
        <v>0</v>
      </c>
      <c r="F105">
        <f>SUM($E$2:E105)</f>
        <v>0</v>
      </c>
    </row>
    <row r="106" spans="1:6">
      <c r="A106">
        <v>105</v>
      </c>
      <c r="B106">
        <f>2*SIN(105*PI()*Dashboard!$C$3)*SIN(105*PI()*Dashboard!$C$3)</f>
        <v>4.8943483704837136E-2</v>
      </c>
      <c r="C106">
        <f>SUM($B$2:B106)</f>
        <v>104.97958287382606</v>
      </c>
      <c r="E106">
        <f>2*SIN(105*PI()*Dashboard!$C$3)*SIN(105*PI()*Dashboard!$C$4)</f>
        <v>0</v>
      </c>
      <c r="F106">
        <f>SUM($E$2:E106)</f>
        <v>0</v>
      </c>
    </row>
    <row r="107" spans="1:6">
      <c r="A107">
        <v>106</v>
      </c>
      <c r="B107">
        <f>2*SIN(106*PI()*Dashboard!$C$3)*SIN(106*PI()*Dashboard!$C$3)</f>
        <v>1.9685831611286206</v>
      </c>
      <c r="C107">
        <f>SUM($B$2:B107)</f>
        <v>106.94816603495468</v>
      </c>
      <c r="E107">
        <f>2*SIN(106*PI()*Dashboard!$C$3)*SIN(106*PI()*Dashboard!$C$4)</f>
        <v>0</v>
      </c>
      <c r="F107">
        <f>SUM($E$2:E107)</f>
        <v>0</v>
      </c>
    </row>
    <row r="108" spans="1:6">
      <c r="A108">
        <v>107</v>
      </c>
      <c r="B108">
        <f>2*SIN(107*PI()*Dashboard!$C$3)*SIN(107*PI()*Dashboard!$C$3)</f>
        <v>0.31545289407134941</v>
      </c>
      <c r="C108">
        <f>SUM($B$2:B108)</f>
        <v>107.26361892902604</v>
      </c>
      <c r="E108">
        <f>2*SIN(107*PI()*Dashboard!$C$3)*SIN(107*PI()*Dashboard!$C$4)</f>
        <v>0</v>
      </c>
      <c r="F108">
        <f>SUM($E$2:E108)</f>
        <v>0</v>
      </c>
    </row>
    <row r="109" spans="1:6">
      <c r="A109">
        <v>108</v>
      </c>
      <c r="B109">
        <f>2*SIN(108*PI()*Dashboard!$C$3)*SIN(108*PI()*Dashboard!$C$3)</f>
        <v>1.1873813145856624</v>
      </c>
      <c r="C109">
        <f>SUM($B$2:B109)</f>
        <v>108.4510002436117</v>
      </c>
      <c r="E109">
        <f>2*SIN(108*PI()*Dashboard!$C$3)*SIN(108*PI()*Dashboard!$C$4)</f>
        <v>0</v>
      </c>
      <c r="F109">
        <f>SUM($E$2:E109)</f>
        <v>0</v>
      </c>
    </row>
    <row r="110" spans="1:6">
      <c r="A110">
        <v>109</v>
      </c>
      <c r="B110">
        <f>2*SIN(109*PI()*Dashboard!$C$3)*SIN(109*PI()*Dashboard!$C$3)</f>
        <v>1.3681245526847474</v>
      </c>
      <c r="C110">
        <f>SUM($B$2:B110)</f>
        <v>109.81912479629645</v>
      </c>
      <c r="E110">
        <f>2*SIN(109*PI()*Dashboard!$C$3)*SIN(109*PI()*Dashboard!$C$4)</f>
        <v>0</v>
      </c>
      <c r="F110">
        <f>SUM($E$2:E110)</f>
        <v>0</v>
      </c>
    </row>
    <row r="111" spans="1:6">
      <c r="A111">
        <v>110</v>
      </c>
      <c r="B111">
        <f>2*SIN(110*PI()*Dashboard!$C$3)*SIN(110*PI()*Dashboard!$C$3)</f>
        <v>0.19098300562503567</v>
      </c>
      <c r="C111">
        <f>SUM($B$2:B111)</f>
        <v>110.01010780192149</v>
      </c>
      <c r="E111">
        <f>2*SIN(110*PI()*Dashboard!$C$3)*SIN(110*PI()*Dashboard!$C$4)</f>
        <v>0</v>
      </c>
      <c r="F111">
        <f>SUM($E$2:E111)</f>
        <v>0</v>
      </c>
    </row>
    <row r="112" spans="1:6">
      <c r="A112">
        <v>111</v>
      </c>
      <c r="B112">
        <f>2*SIN(111*PI()*Dashboard!$C$3)*SIN(111*PI()*Dashboard!$C$3)</f>
        <v>1.998026728428274</v>
      </c>
      <c r="C112">
        <f>SUM($B$2:B112)</f>
        <v>112.00813453034976</v>
      </c>
      <c r="E112">
        <f>2*SIN(111*PI()*Dashboard!$C$3)*SIN(111*PI()*Dashboard!$C$4)</f>
        <v>0</v>
      </c>
      <c r="F112">
        <f>SUM($E$2:E112)</f>
        <v>0</v>
      </c>
    </row>
    <row r="113" spans="1:6">
      <c r="A113">
        <v>112</v>
      </c>
      <c r="B113">
        <f>2*SIN(112*PI()*Dashboard!$C$3)*SIN(112*PI()*Dashboard!$C$3)</f>
        <v>0.12369331995616099</v>
      </c>
      <c r="C113">
        <f>SUM($B$2:B113)</f>
        <v>112.13182785030592</v>
      </c>
      <c r="E113">
        <f>2*SIN(112*PI()*Dashboard!$C$3)*SIN(112*PI()*Dashboard!$C$4)</f>
        <v>0</v>
      </c>
      <c r="F113">
        <f>SUM($E$2:E113)</f>
        <v>0</v>
      </c>
    </row>
    <row r="114" spans="1:6">
      <c r="A114">
        <v>113</v>
      </c>
      <c r="B114">
        <f>2*SIN(113*PI()*Dashboard!$C$3)*SIN(113*PI()*Dashboard!$C$3)</f>
        <v>1.4817536741016606</v>
      </c>
      <c r="C114">
        <f>SUM($B$2:B114)</f>
        <v>113.61358152440758</v>
      </c>
      <c r="E114">
        <f>2*SIN(113*PI()*Dashboard!$C$3)*SIN(113*PI()*Dashboard!$C$4)</f>
        <v>0</v>
      </c>
      <c r="F114">
        <f>SUM($E$2:E114)</f>
        <v>0</v>
      </c>
    </row>
    <row r="115" spans="1:6">
      <c r="A115">
        <v>114</v>
      </c>
      <c r="B115">
        <f>2*SIN(114*PI()*Dashboard!$C$3)*SIN(114*PI()*Dashboard!$C$3)</f>
        <v>1.0627905195293865</v>
      </c>
      <c r="C115">
        <f>SUM($B$2:B115)</f>
        <v>114.67637204393696</v>
      </c>
      <c r="E115">
        <f>2*SIN(114*PI()*Dashboard!$C$3)*SIN(114*PI()*Dashboard!$C$4)</f>
        <v>0</v>
      </c>
      <c r="F115">
        <f>SUM($E$2:E115)</f>
        <v>0</v>
      </c>
    </row>
    <row r="116" spans="1:6">
      <c r="A116">
        <v>115</v>
      </c>
      <c r="B116">
        <f>2*SIN(115*PI()*Dashboard!$C$3)*SIN(115*PI()*Dashboard!$C$3)</f>
        <v>0.4122147477075046</v>
      </c>
      <c r="C116">
        <f>SUM($B$2:B116)</f>
        <v>115.08858679164447</v>
      </c>
      <c r="E116">
        <f>2*SIN(115*PI()*Dashboard!$C$3)*SIN(115*PI()*Dashboard!$C$4)</f>
        <v>0</v>
      </c>
      <c r="F116">
        <f>SUM($E$2:E116)</f>
        <v>0</v>
      </c>
    </row>
    <row r="117" spans="1:6">
      <c r="A117">
        <v>116</v>
      </c>
      <c r="B117">
        <f>2*SIN(116*PI()*Dashboard!$C$3)*SIN(116*PI()*Dashboard!$C$3)</f>
        <v>1.9297764858882656</v>
      </c>
      <c r="C117">
        <f>SUM($B$2:B117)</f>
        <v>117.01836327753274</v>
      </c>
      <c r="E117">
        <f>2*SIN(116*PI()*Dashboard!$C$3)*SIN(116*PI()*Dashboard!$C$4)</f>
        <v>0</v>
      </c>
      <c r="F117">
        <f>SUM($E$2:E117)</f>
        <v>0</v>
      </c>
    </row>
    <row r="118" spans="1:6">
      <c r="A118">
        <v>117</v>
      </c>
      <c r="B118">
        <f>2*SIN(117*PI()*Dashboard!$C$3)*SIN(117*PI()*Dashboard!$C$3)</f>
        <v>1.7712749271320646E-2</v>
      </c>
      <c r="C118">
        <f>SUM($B$2:B118)</f>
        <v>117.03607602680407</v>
      </c>
      <c r="E118">
        <f>2*SIN(117*PI()*Dashboard!$C$3)*SIN(117*PI()*Dashboard!$C$4)</f>
        <v>0</v>
      </c>
      <c r="F118">
        <f>SUM($E$2:E118)</f>
        <v>0</v>
      </c>
    </row>
    <row r="119" spans="1:6">
      <c r="A119">
        <v>118</v>
      </c>
      <c r="B119">
        <f>2*SIN(118*PI()*Dashboard!$C$3)*SIN(118*PI()*Dashboard!$C$3)</f>
        <v>1.72896862742137</v>
      </c>
      <c r="C119">
        <f>SUM($B$2:B119)</f>
        <v>118.76504465422543</v>
      </c>
      <c r="E119">
        <f>2*SIN(118*PI()*Dashboard!$C$3)*SIN(118*PI()*Dashboard!$C$4)</f>
        <v>0</v>
      </c>
      <c r="F119">
        <f>SUM($E$2:E119)</f>
        <v>0</v>
      </c>
    </row>
    <row r="120" spans="1:6">
      <c r="A120">
        <v>119</v>
      </c>
      <c r="B120">
        <f>2*SIN(119*PI()*Dashboard!$C$3)*SIN(119*PI()*Dashboard!$C$3)</f>
        <v>0.75131011283521487</v>
      </c>
      <c r="C120">
        <f>SUM($B$2:B120)</f>
        <v>119.51635476706065</v>
      </c>
      <c r="E120">
        <f>2*SIN(119*PI()*Dashboard!$C$3)*SIN(119*PI()*Dashboard!$C$4)</f>
        <v>0</v>
      </c>
      <c r="F120">
        <f>SUM($E$2:E120)</f>
        <v>0</v>
      </c>
    </row>
    <row r="121" spans="1:6">
      <c r="A121">
        <v>120</v>
      </c>
      <c r="B121">
        <f>2*SIN(120*PI()*Dashboard!$C$3)*SIN(120*PI()*Dashboard!$C$3)</f>
        <v>0.69098300562502757</v>
      </c>
      <c r="C121">
        <f>SUM($B$2:B121)</f>
        <v>120.20733777268568</v>
      </c>
      <c r="E121">
        <f>2*SIN(120*PI()*Dashboard!$C$3)*SIN(120*PI()*Dashboard!$C$4)</f>
        <v>0</v>
      </c>
      <c r="F121">
        <f>SUM($E$2:E121)</f>
        <v>0</v>
      </c>
    </row>
    <row r="122" spans="1:6">
      <c r="A122">
        <v>121</v>
      </c>
      <c r="B122">
        <f>2*SIN(121*PI()*Dashboard!$C$3)*SIN(121*PI()*Dashboard!$C$3)</f>
        <v>1.770513242775813</v>
      </c>
      <c r="C122">
        <f>SUM($B$2:B122)</f>
        <v>121.97785101546148</v>
      </c>
      <c r="E122">
        <f>2*SIN(121*PI()*Dashboard!$C$3)*SIN(121*PI()*Dashboard!$C$4)</f>
        <v>0</v>
      </c>
      <c r="F122">
        <f>SUM($E$2:E122)</f>
        <v>0</v>
      </c>
    </row>
    <row r="123" spans="1:6">
      <c r="A123">
        <v>122</v>
      </c>
      <c r="B123">
        <f>2*SIN(122*PI()*Dashboard!$C$3)*SIN(122*PI()*Dashboard!$C$3)</f>
        <v>7.885298685516089E-3</v>
      </c>
      <c r="C123">
        <f>SUM($B$2:B123)</f>
        <v>121.985736314147</v>
      </c>
      <c r="E123">
        <f>2*SIN(122*PI()*Dashboard!$C$3)*SIN(122*PI()*Dashboard!$C$4)</f>
        <v>0</v>
      </c>
      <c r="F123">
        <f>SUM($E$2:E123)</f>
        <v>0</v>
      </c>
    </row>
    <row r="124" spans="1:6">
      <c r="A124">
        <v>123</v>
      </c>
      <c r="B124">
        <f>2*SIN(123*PI()*Dashboard!$C$3)*SIN(123*PI()*Dashboard!$C$3)</f>
        <v>1.904827052465994</v>
      </c>
      <c r="C124">
        <f>SUM($B$2:B124)</f>
        <v>123.89056336661299</v>
      </c>
      <c r="E124">
        <f>2*SIN(123*PI()*Dashboard!$C$3)*SIN(123*PI()*Dashboard!$C$4)</f>
        <v>0</v>
      </c>
      <c r="F124">
        <f>SUM($E$2:E124)</f>
        <v>0</v>
      </c>
    </row>
    <row r="125" spans="1:6">
      <c r="A125">
        <v>124</v>
      </c>
      <c r="B125">
        <f>2*SIN(124*PI()*Dashboard!$C$3)*SIN(124*PI()*Dashboard!$C$3)</f>
        <v>0.46417320502106307</v>
      </c>
      <c r="C125">
        <f>SUM($B$2:B125)</f>
        <v>124.35473657163406</v>
      </c>
      <c r="E125">
        <f>2*SIN(124*PI()*Dashboard!$C$3)*SIN(124*PI()*Dashboard!$C$4)</f>
        <v>0</v>
      </c>
      <c r="F125">
        <f>SUM($E$2:E125)</f>
        <v>0</v>
      </c>
    </row>
    <row r="126" spans="1:6">
      <c r="A126">
        <v>125</v>
      </c>
      <c r="B126">
        <f>2*SIN(125*PI()*Dashboard!$C$3)*SIN(125*PI()*Dashboard!$C$3)</f>
        <v>0.99999999999997502</v>
      </c>
      <c r="C126">
        <f>SUM($B$2:B126)</f>
        <v>125.35473657163404</v>
      </c>
      <c r="E126">
        <f>2*SIN(125*PI()*Dashboard!$C$3)*SIN(125*PI()*Dashboard!$C$4)</f>
        <v>0</v>
      </c>
      <c r="F126">
        <f>SUM($E$2:E126)</f>
        <v>0</v>
      </c>
    </row>
    <row r="127" spans="1:6">
      <c r="A127">
        <v>126</v>
      </c>
      <c r="B127">
        <f>2*SIN(126*PI()*Dashboard!$C$3)*SIN(126*PI()*Dashboard!$C$3)</f>
        <v>1.535826794979027</v>
      </c>
      <c r="C127">
        <f>SUM($B$2:B127)</f>
        <v>126.89056336661307</v>
      </c>
      <c r="E127">
        <f>2*SIN(126*PI()*Dashboard!$C$3)*SIN(126*PI()*Dashboard!$C$4)</f>
        <v>0</v>
      </c>
      <c r="F127">
        <f>SUM($E$2:E127)</f>
        <v>0</v>
      </c>
    </row>
    <row r="128" spans="1:6">
      <c r="A128">
        <v>127</v>
      </c>
      <c r="B128">
        <f>2*SIN(127*PI()*Dashboard!$C$3)*SIN(127*PI()*Dashboard!$C$3)</f>
        <v>9.5172947533960356E-2</v>
      </c>
      <c r="C128">
        <f>SUM($B$2:B128)</f>
        <v>126.98573631414702</v>
      </c>
      <c r="E128">
        <f>2*SIN(127*PI()*Dashboard!$C$3)*SIN(127*PI()*Dashboard!$C$4)</f>
        <v>0</v>
      </c>
      <c r="F128">
        <f>SUM($E$2:E128)</f>
        <v>0</v>
      </c>
    </row>
    <row r="129" spans="1:6">
      <c r="A129">
        <v>128</v>
      </c>
      <c r="B129">
        <f>2*SIN(128*PI()*Dashboard!$C$3)*SIN(128*PI()*Dashboard!$C$3)</f>
        <v>1.9921147013144707</v>
      </c>
      <c r="C129">
        <f>SUM($B$2:B129)</f>
        <v>128.97785101546148</v>
      </c>
      <c r="E129">
        <f>2*SIN(128*PI()*Dashboard!$C$3)*SIN(128*PI()*Dashboard!$C$4)</f>
        <v>0</v>
      </c>
      <c r="F129">
        <f>SUM($E$2:E129)</f>
        <v>0</v>
      </c>
    </row>
    <row r="130" spans="1:6">
      <c r="A130">
        <v>129</v>
      </c>
      <c r="B130">
        <f>2*SIN(129*PI()*Dashboard!$C$3)*SIN(129*PI()*Dashboard!$C$3)</f>
        <v>0.22948675722425504</v>
      </c>
      <c r="C130">
        <f>SUM($B$2:B130)</f>
        <v>129.20733777268575</v>
      </c>
      <c r="E130">
        <f>2*SIN(129*PI()*Dashboard!$C$3)*SIN(129*PI()*Dashboard!$C$4)</f>
        <v>0</v>
      </c>
      <c r="F130">
        <f>SUM($E$2:E130)</f>
        <v>0</v>
      </c>
    </row>
    <row r="131" spans="1:6">
      <c r="A131">
        <v>130</v>
      </c>
      <c r="B131">
        <f>2*SIN(130*PI()*Dashboard!$C$3)*SIN(130*PI()*Dashboard!$C$3)</f>
        <v>1.3090169943749248</v>
      </c>
      <c r="C131">
        <f>SUM($B$2:B131)</f>
        <v>130.51635476706068</v>
      </c>
      <c r="E131">
        <f>2*SIN(130*PI()*Dashboard!$C$3)*SIN(130*PI()*Dashboard!$C$4)</f>
        <v>0</v>
      </c>
      <c r="F131">
        <f>SUM($E$2:E131)</f>
        <v>0</v>
      </c>
    </row>
    <row r="132" spans="1:6">
      <c r="A132">
        <v>131</v>
      </c>
      <c r="B132">
        <f>2*SIN(131*PI()*Dashboard!$C$3)*SIN(131*PI()*Dashboard!$C$3)</f>
        <v>1.2486898871648886</v>
      </c>
      <c r="C132">
        <f>SUM($B$2:B132)</f>
        <v>131.76504465422556</v>
      </c>
      <c r="E132">
        <f>2*SIN(131*PI()*Dashboard!$C$3)*SIN(131*PI()*Dashboard!$C$4)</f>
        <v>0</v>
      </c>
      <c r="F132">
        <f>SUM($E$2:E132)</f>
        <v>0</v>
      </c>
    </row>
    <row r="133" spans="1:6">
      <c r="A133">
        <v>132</v>
      </c>
      <c r="B133">
        <f>2*SIN(132*PI()*Dashboard!$C$3)*SIN(132*PI()*Dashboard!$C$3)</f>
        <v>0.27103137257855703</v>
      </c>
      <c r="C133">
        <f>SUM($B$2:B133)</f>
        <v>132.03607602680412</v>
      </c>
      <c r="E133">
        <f>2*SIN(132*PI()*Dashboard!$C$3)*SIN(132*PI()*Dashboard!$C$4)</f>
        <v>0</v>
      </c>
      <c r="F133">
        <f>SUM($E$2:E133)</f>
        <v>0</v>
      </c>
    </row>
    <row r="134" spans="1:6">
      <c r="A134">
        <v>133</v>
      </c>
      <c r="B134">
        <f>2*SIN(133*PI()*Dashboard!$C$3)*SIN(133*PI()*Dashboard!$C$3)</f>
        <v>1.9822872507286993</v>
      </c>
      <c r="C134">
        <f>SUM($B$2:B134)</f>
        <v>134.01836327753281</v>
      </c>
      <c r="E134">
        <f>2*SIN(133*PI()*Dashboard!$C$3)*SIN(133*PI()*Dashboard!$C$4)</f>
        <v>0</v>
      </c>
      <c r="F134">
        <f>SUM($E$2:E134)</f>
        <v>0</v>
      </c>
    </row>
    <row r="135" spans="1:6">
      <c r="A135">
        <v>134</v>
      </c>
      <c r="B135">
        <f>2*SIN(134*PI()*Dashboard!$C$3)*SIN(134*PI()*Dashboard!$C$3)</f>
        <v>7.0223514111773688E-2</v>
      </c>
      <c r="C135">
        <f>SUM($B$2:B135)</f>
        <v>134.08858679164459</v>
      </c>
      <c r="E135">
        <f>2*SIN(134*PI()*Dashboard!$C$3)*SIN(134*PI()*Dashboard!$C$4)</f>
        <v>0</v>
      </c>
      <c r="F135">
        <f>SUM($E$2:E135)</f>
        <v>0</v>
      </c>
    </row>
    <row r="136" spans="1:6">
      <c r="A136">
        <v>135</v>
      </c>
      <c r="B136">
        <f>2*SIN(135*PI()*Dashboard!$C$3)*SIN(135*PI()*Dashboard!$C$3)</f>
        <v>1.5877852522924552</v>
      </c>
      <c r="C136">
        <f>SUM($B$2:B136)</f>
        <v>135.67637204393705</v>
      </c>
      <c r="E136">
        <f>2*SIN(135*PI()*Dashboard!$C$3)*SIN(135*PI()*Dashboard!$C$4)</f>
        <v>0</v>
      </c>
      <c r="F136">
        <f>SUM($E$2:E136)</f>
        <v>0</v>
      </c>
    </row>
    <row r="137" spans="1:6">
      <c r="A137">
        <v>136</v>
      </c>
      <c r="B137">
        <f>2*SIN(136*PI()*Dashboard!$C$3)*SIN(136*PI()*Dashboard!$C$3)</f>
        <v>0.93720948047072017</v>
      </c>
      <c r="C137">
        <f>SUM($B$2:B137)</f>
        <v>136.61358152440778</v>
      </c>
      <c r="E137">
        <f>2*SIN(136*PI()*Dashboard!$C$3)*SIN(136*PI()*Dashboard!$C$4)</f>
        <v>0</v>
      </c>
      <c r="F137">
        <f>SUM($E$2:E137)</f>
        <v>0</v>
      </c>
    </row>
    <row r="138" spans="1:6">
      <c r="A138">
        <v>137</v>
      </c>
      <c r="B138">
        <f>2*SIN(137*PI()*Dashboard!$C$3)*SIN(137*PI()*Dashboard!$C$3)</f>
        <v>0.51824632589824571</v>
      </c>
      <c r="C138">
        <f>SUM($B$2:B138)</f>
        <v>137.13182785030602</v>
      </c>
      <c r="E138">
        <f>2*SIN(137*PI()*Dashboard!$C$3)*SIN(137*PI()*Dashboard!$C$4)</f>
        <v>0</v>
      </c>
      <c r="F138">
        <f>SUM($E$2:E138)</f>
        <v>0</v>
      </c>
    </row>
    <row r="139" spans="1:6">
      <c r="A139">
        <v>138</v>
      </c>
      <c r="B139">
        <f>2*SIN(138*PI()*Dashboard!$C$3)*SIN(138*PI()*Dashboard!$C$3)</f>
        <v>1.8763066800438906</v>
      </c>
      <c r="C139">
        <f>SUM($B$2:B139)</f>
        <v>139.00813453034991</v>
      </c>
      <c r="E139">
        <f>2*SIN(138*PI()*Dashboard!$C$3)*SIN(138*PI()*Dashboard!$C$4)</f>
        <v>0</v>
      </c>
      <c r="F139">
        <f>SUM($E$2:E139)</f>
        <v>0</v>
      </c>
    </row>
    <row r="140" spans="1:6">
      <c r="A140">
        <v>139</v>
      </c>
      <c r="B140">
        <f>2*SIN(139*PI()*Dashboard!$C$3)*SIN(139*PI()*Dashboard!$C$3)</f>
        <v>1.9732715717290699E-3</v>
      </c>
      <c r="C140">
        <f>SUM($B$2:B140)</f>
        <v>139.01010780192163</v>
      </c>
      <c r="E140">
        <f>2*SIN(139*PI()*Dashboard!$C$3)*SIN(139*PI()*Dashboard!$C$4)</f>
        <v>0</v>
      </c>
      <c r="F140">
        <f>SUM($E$2:E140)</f>
        <v>0</v>
      </c>
    </row>
    <row r="141" spans="1:6">
      <c r="A141">
        <v>140</v>
      </c>
      <c r="B141">
        <f>2*SIN(140*PI()*Dashboard!$C$3)*SIN(140*PI()*Dashboard!$C$3)</f>
        <v>1.809016994374935</v>
      </c>
      <c r="C141">
        <f>SUM($B$2:B141)</f>
        <v>140.81912479629656</v>
      </c>
      <c r="E141">
        <f>2*SIN(140*PI()*Dashboard!$C$3)*SIN(140*PI()*Dashboard!$C$4)</f>
        <v>0</v>
      </c>
      <c r="F141">
        <f>SUM($E$2:E141)</f>
        <v>0</v>
      </c>
    </row>
    <row r="142" spans="1:6">
      <c r="A142">
        <v>141</v>
      </c>
      <c r="B142">
        <f>2*SIN(141*PI()*Dashboard!$C$3)*SIN(141*PI()*Dashboard!$C$3)</f>
        <v>0.63187544731535195</v>
      </c>
      <c r="C142">
        <f>SUM($B$2:B142)</f>
        <v>141.45100024361193</v>
      </c>
      <c r="E142">
        <f>2*SIN(141*PI()*Dashboard!$C$3)*SIN(141*PI()*Dashboard!$C$4)</f>
        <v>0</v>
      </c>
      <c r="F142">
        <f>SUM($E$2:E142)</f>
        <v>0</v>
      </c>
    </row>
    <row r="143" spans="1:6">
      <c r="A143">
        <v>142</v>
      </c>
      <c r="B143">
        <f>2*SIN(142*PI()*Dashboard!$C$3)*SIN(142*PI()*Dashboard!$C$3)</f>
        <v>0.81261868541423277</v>
      </c>
      <c r="C143">
        <f>SUM($B$2:B143)</f>
        <v>142.26361892902617</v>
      </c>
      <c r="E143">
        <f>2*SIN(142*PI()*Dashboard!$C$3)*SIN(142*PI()*Dashboard!$C$4)</f>
        <v>0</v>
      </c>
      <c r="F143">
        <f>SUM($E$2:E143)</f>
        <v>0</v>
      </c>
    </row>
    <row r="144" spans="1:6">
      <c r="A144">
        <v>143</v>
      </c>
      <c r="B144">
        <f>2*SIN(143*PI()*Dashboard!$C$3)*SIN(143*PI()*Dashboard!$C$3)</f>
        <v>1.6845471059287287</v>
      </c>
      <c r="C144">
        <f>SUM($B$2:B144)</f>
        <v>143.94816603495488</v>
      </c>
      <c r="E144">
        <f>2*SIN(143*PI()*Dashboard!$C$3)*SIN(143*PI()*Dashboard!$C$4)</f>
        <v>0</v>
      </c>
      <c r="F144">
        <f>SUM($E$2:E144)</f>
        <v>0</v>
      </c>
    </row>
    <row r="145" spans="1:6">
      <c r="A145">
        <v>144</v>
      </c>
      <c r="B145">
        <f>2*SIN(144*PI()*Dashboard!$C$3)*SIN(144*PI()*Dashboard!$C$3)</f>
        <v>3.1416838871366704E-2</v>
      </c>
      <c r="C145">
        <f>SUM($B$2:B145)</f>
        <v>143.97958287382625</v>
      </c>
      <c r="E145">
        <f>2*SIN(144*PI()*Dashboard!$C$3)*SIN(144*PI()*Dashboard!$C$4)</f>
        <v>0</v>
      </c>
      <c r="F145">
        <f>SUM($E$2:E145)</f>
        <v>0</v>
      </c>
    </row>
    <row r="146" spans="1:6">
      <c r="A146">
        <v>145</v>
      </c>
      <c r="B146">
        <f>2*SIN(145*PI()*Dashboard!$C$3)*SIN(145*PI()*Dashboard!$C$3)</f>
        <v>1.9510565162951476</v>
      </c>
      <c r="C146">
        <f>SUM($B$2:B146)</f>
        <v>145.9306393901214</v>
      </c>
      <c r="E146">
        <f>2*SIN(145*PI()*Dashboard!$C$3)*SIN(145*PI()*Dashboard!$C$4)</f>
        <v>0</v>
      </c>
      <c r="F146">
        <f>SUM($E$2:E146)</f>
        <v>0</v>
      </c>
    </row>
    <row r="147" spans="1:6">
      <c r="A147">
        <v>146</v>
      </c>
      <c r="B147">
        <f>2*SIN(146*PI()*Dashboard!$C$3)*SIN(146*PI()*Dashboard!$C$3)</f>
        <v>0.36257601025133424</v>
      </c>
      <c r="C147">
        <f>SUM($B$2:B147)</f>
        <v>146.29321540037273</v>
      </c>
      <c r="E147">
        <f>2*SIN(146*PI()*Dashboard!$C$3)*SIN(146*PI()*Dashboard!$C$4)</f>
        <v>0</v>
      </c>
      <c r="F147">
        <f>SUM($E$2:E147)</f>
        <v>0</v>
      </c>
    </row>
    <row r="148" spans="1:6">
      <c r="A148">
        <v>147</v>
      </c>
      <c r="B148">
        <f>2*SIN(147*PI()*Dashboard!$C$3)*SIN(147*PI()*Dashboard!$C$3)</f>
        <v>1.1253332335642625</v>
      </c>
      <c r="C148">
        <f>SUM($B$2:B148)</f>
        <v>147.41854863393701</v>
      </c>
      <c r="E148">
        <f>2*SIN(147*PI()*Dashboard!$C$3)*SIN(147*PI()*Dashboard!$C$4)</f>
        <v>0</v>
      </c>
      <c r="F148">
        <f>SUM($E$2:E148)</f>
        <v>0</v>
      </c>
    </row>
    <row r="149" spans="1:6">
      <c r="A149">
        <v>148</v>
      </c>
      <c r="B149">
        <f>2*SIN(148*PI()*Dashboard!$C$3)*SIN(148*PI()*Dashboard!$C$3)</f>
        <v>1.4257792915651206</v>
      </c>
      <c r="C149">
        <f>SUM($B$2:B149)</f>
        <v>148.84432792550211</v>
      </c>
      <c r="E149">
        <f>2*SIN(148*PI()*Dashboard!$C$3)*SIN(148*PI()*Dashboard!$C$4)</f>
        <v>0</v>
      </c>
      <c r="F149">
        <f>SUM($E$2:E149)</f>
        <v>0</v>
      </c>
    </row>
    <row r="150" spans="1:6">
      <c r="A150">
        <v>149</v>
      </c>
      <c r="B150">
        <f>2*SIN(149*PI()*Dashboard!$C$3)*SIN(149*PI()*Dashboard!$C$3)</f>
        <v>0.15567207449798093</v>
      </c>
      <c r="C150">
        <f>SUM($B$2:B150)</f>
        <v>149.00000000000009</v>
      </c>
      <c r="E150">
        <f>2*SIN(149*PI()*Dashboard!$C$3)*SIN(149*PI()*Dashboard!$C$4)</f>
        <v>0</v>
      </c>
      <c r="F150">
        <f>SUM($E$2:E150)</f>
        <v>0</v>
      </c>
    </row>
    <row r="151" spans="1:6">
      <c r="A151">
        <v>150</v>
      </c>
      <c r="B151">
        <f>2*SIN(150*PI()*Dashboard!$C$3)*SIN(150*PI()*Dashboard!$C$3)</f>
        <v>2</v>
      </c>
      <c r="C151">
        <f>SUM($B$2:B151)</f>
        <v>151.00000000000009</v>
      </c>
      <c r="E151">
        <f>2*SIN(150*PI()*Dashboard!$C$3)*SIN(150*PI()*Dashboard!$C$4)</f>
        <v>0</v>
      </c>
      <c r="F151">
        <f>SUM($E$2:E151)</f>
        <v>0</v>
      </c>
    </row>
    <row r="152" spans="1:6">
      <c r="A152">
        <v>151</v>
      </c>
      <c r="B152">
        <f>2*SIN(151*PI()*Dashboard!$C$3)*SIN(151*PI()*Dashboard!$C$3)</f>
        <v>0.15567207449800086</v>
      </c>
      <c r="C152">
        <f>SUM($B$2:B152)</f>
        <v>151.15567207449809</v>
      </c>
      <c r="E152">
        <f>2*SIN(151*PI()*Dashboard!$C$3)*SIN(151*PI()*Dashboard!$C$4)</f>
        <v>0</v>
      </c>
      <c r="F152">
        <f>SUM($E$2:E152)</f>
        <v>0</v>
      </c>
    </row>
    <row r="153" spans="1:6">
      <c r="A153">
        <v>152</v>
      </c>
      <c r="B153">
        <f>2*SIN(152*PI()*Dashboard!$C$3)*SIN(152*PI()*Dashboard!$C$3)</f>
        <v>1.4257792915650356</v>
      </c>
      <c r="C153">
        <f>SUM($B$2:B153)</f>
        <v>152.58145136606311</v>
      </c>
      <c r="E153">
        <f>2*SIN(152*PI()*Dashboard!$C$3)*SIN(152*PI()*Dashboard!$C$4)</f>
        <v>0</v>
      </c>
      <c r="F153">
        <f>SUM($E$2:E153)</f>
        <v>0</v>
      </c>
    </row>
    <row r="154" spans="1:6">
      <c r="A154">
        <v>153</v>
      </c>
      <c r="B154">
        <f>2*SIN(153*PI()*Dashboard!$C$3)*SIN(153*PI()*Dashboard!$C$3)</f>
        <v>1.1253332335643558</v>
      </c>
      <c r="C154">
        <f>SUM($B$2:B154)</f>
        <v>153.70678459962747</v>
      </c>
      <c r="E154">
        <f>2*SIN(153*PI()*Dashboard!$C$3)*SIN(153*PI()*Dashboard!$C$4)</f>
        <v>0</v>
      </c>
      <c r="F154">
        <f>SUM($E$2:E154)</f>
        <v>0</v>
      </c>
    </row>
    <row r="155" spans="1:6">
      <c r="A155">
        <v>154</v>
      </c>
      <c r="B155">
        <f>2*SIN(154*PI()*Dashboard!$C$3)*SIN(154*PI()*Dashboard!$C$3)</f>
        <v>0.36257601025130548</v>
      </c>
      <c r="C155">
        <f>SUM($B$2:B155)</f>
        <v>154.06936060987877</v>
      </c>
      <c r="E155">
        <f>2*SIN(154*PI()*Dashboard!$C$3)*SIN(154*PI()*Dashboard!$C$4)</f>
        <v>0</v>
      </c>
      <c r="F155">
        <f>SUM($E$2:E155)</f>
        <v>0</v>
      </c>
    </row>
    <row r="156" spans="1:6">
      <c r="A156">
        <v>155</v>
      </c>
      <c r="B156">
        <f>2*SIN(155*PI()*Dashboard!$C$3)*SIN(155*PI()*Dashboard!$C$3)</f>
        <v>1.951056516295159</v>
      </c>
      <c r="C156">
        <f>SUM($B$2:B156)</f>
        <v>156.02041712617392</v>
      </c>
      <c r="E156">
        <f>2*SIN(155*PI()*Dashboard!$C$3)*SIN(155*PI()*Dashboard!$C$4)</f>
        <v>0</v>
      </c>
      <c r="F156">
        <f>SUM($E$2:E156)</f>
        <v>0</v>
      </c>
    </row>
    <row r="157" spans="1:6">
      <c r="A157">
        <v>156</v>
      </c>
      <c r="B157">
        <f>2*SIN(156*PI()*Dashboard!$C$3)*SIN(156*PI()*Dashboard!$C$3)</f>
        <v>3.1416838871375953E-2</v>
      </c>
      <c r="C157">
        <f>SUM($B$2:B157)</f>
        <v>156.05183396504529</v>
      </c>
      <c r="E157">
        <f>2*SIN(156*PI()*Dashboard!$C$3)*SIN(156*PI()*Dashboard!$C$4)</f>
        <v>0</v>
      </c>
      <c r="F157">
        <f>SUM($E$2:E157)</f>
        <v>0</v>
      </c>
    </row>
    <row r="158" spans="1:6">
      <c r="A158">
        <v>157</v>
      </c>
      <c r="B158">
        <f>2*SIN(157*PI()*Dashboard!$C$3)*SIN(157*PI()*Dashboard!$C$3)</f>
        <v>1.6845471059286596</v>
      </c>
      <c r="C158">
        <f>SUM($B$2:B158)</f>
        <v>157.73638107097395</v>
      </c>
      <c r="E158">
        <f>2*SIN(157*PI()*Dashboard!$C$3)*SIN(157*PI()*Dashboard!$C$4)</f>
        <v>0</v>
      </c>
      <c r="F158">
        <f>SUM($E$2:E158)</f>
        <v>0</v>
      </c>
    </row>
    <row r="159" spans="1:6">
      <c r="A159">
        <v>158</v>
      </c>
      <c r="B159">
        <f>2*SIN(158*PI()*Dashboard!$C$3)*SIN(158*PI()*Dashboard!$C$3)</f>
        <v>0.81261868541432525</v>
      </c>
      <c r="C159">
        <f>SUM($B$2:B159)</f>
        <v>158.54899975638827</v>
      </c>
      <c r="E159">
        <f>2*SIN(158*PI()*Dashboard!$C$3)*SIN(158*PI()*Dashboard!$C$4)</f>
        <v>0</v>
      </c>
      <c r="F159">
        <f>SUM($E$2:E159)</f>
        <v>0</v>
      </c>
    </row>
    <row r="160" spans="1:6">
      <c r="A160">
        <v>159</v>
      </c>
      <c r="B160">
        <f>2*SIN(159*PI()*Dashboard!$C$3)*SIN(159*PI()*Dashboard!$C$3)</f>
        <v>0.63187544731531753</v>
      </c>
      <c r="C160">
        <f>SUM($B$2:B160)</f>
        <v>159.18087520370358</v>
      </c>
      <c r="E160">
        <f>2*SIN(159*PI()*Dashboard!$C$3)*SIN(159*PI()*Dashboard!$C$4)</f>
        <v>0</v>
      </c>
      <c r="F160">
        <f>SUM($E$2:E160)</f>
        <v>0</v>
      </c>
    </row>
    <row r="161" spans="1:6">
      <c r="A161">
        <v>160</v>
      </c>
      <c r="B161">
        <f>2*SIN(160*PI()*Dashboard!$C$3)*SIN(160*PI()*Dashboard!$C$3)</f>
        <v>1.809016994374957</v>
      </c>
      <c r="C161">
        <f>SUM($B$2:B161)</f>
        <v>160.98989219807854</v>
      </c>
      <c r="E161">
        <f>2*SIN(160*PI()*Dashboard!$C$3)*SIN(160*PI()*Dashboard!$C$4)</f>
        <v>0</v>
      </c>
      <c r="F161">
        <f>SUM($E$2:E161)</f>
        <v>0</v>
      </c>
    </row>
    <row r="162" spans="1:6">
      <c r="A162">
        <v>161</v>
      </c>
      <c r="B162">
        <f>2*SIN(161*PI()*Dashboard!$C$3)*SIN(161*PI()*Dashboard!$C$3)</f>
        <v>1.9732715717267306E-3</v>
      </c>
      <c r="C162">
        <f>SUM($B$2:B162)</f>
        <v>160.99186546965026</v>
      </c>
      <c r="E162">
        <f>2*SIN(161*PI()*Dashboard!$C$3)*SIN(161*PI()*Dashboard!$C$4)</f>
        <v>0</v>
      </c>
      <c r="F162">
        <f>SUM($E$2:E162)</f>
        <v>0</v>
      </c>
    </row>
    <row r="163" spans="1:6">
      <c r="A163">
        <v>162</v>
      </c>
      <c r="B163">
        <f>2*SIN(162*PI()*Dashboard!$C$3)*SIN(162*PI()*Dashboard!$C$3)</f>
        <v>1.8763066800438448</v>
      </c>
      <c r="C163">
        <f>SUM($B$2:B163)</f>
        <v>162.86817214969412</v>
      </c>
      <c r="E163">
        <f>2*SIN(162*PI()*Dashboard!$C$3)*SIN(162*PI()*Dashboard!$C$4)</f>
        <v>0</v>
      </c>
      <c r="F163">
        <f>SUM($E$2:E163)</f>
        <v>0</v>
      </c>
    </row>
    <row r="164" spans="1:6">
      <c r="A164">
        <v>163</v>
      </c>
      <c r="B164">
        <f>2*SIN(163*PI()*Dashboard!$C$3)*SIN(163*PI()*Dashboard!$C$3)</f>
        <v>0.51824632589832798</v>
      </c>
      <c r="C164">
        <f>SUM($B$2:B164)</f>
        <v>163.38641847559245</v>
      </c>
      <c r="E164">
        <f>2*SIN(163*PI()*Dashboard!$C$3)*SIN(163*PI()*Dashboard!$C$4)</f>
        <v>0</v>
      </c>
      <c r="F164">
        <f>SUM($E$2:E164)</f>
        <v>0</v>
      </c>
    </row>
    <row r="165" spans="1:6">
      <c r="A165">
        <v>164</v>
      </c>
      <c r="B165">
        <f>2*SIN(164*PI()*Dashboard!$C$3)*SIN(164*PI()*Dashboard!$C$3)</f>
        <v>0.93720948047062624</v>
      </c>
      <c r="C165">
        <f>SUM($B$2:B165)</f>
        <v>164.32362795606306</v>
      </c>
      <c r="E165">
        <f>2*SIN(164*PI()*Dashboard!$C$3)*SIN(164*PI()*Dashboard!$C$4)</f>
        <v>0</v>
      </c>
      <c r="F165">
        <f>SUM($E$2:E165)</f>
        <v>0</v>
      </c>
    </row>
    <row r="166" spans="1:6">
      <c r="A166">
        <v>165</v>
      </c>
      <c r="B166">
        <f>2*SIN(165*PI()*Dashboard!$C$3)*SIN(165*PI()*Dashboard!$C$3)</f>
        <v>1.5877852522925311</v>
      </c>
      <c r="C166">
        <f>SUM($B$2:B166)</f>
        <v>165.91141320835558</v>
      </c>
      <c r="E166">
        <f>2*SIN(165*PI()*Dashboard!$C$3)*SIN(165*PI()*Dashboard!$C$4)</f>
        <v>0</v>
      </c>
      <c r="F166">
        <f>SUM($E$2:E166)</f>
        <v>0</v>
      </c>
    </row>
    <row r="167" spans="1:6">
      <c r="A167">
        <v>166</v>
      </c>
      <c r="B167">
        <f>2*SIN(166*PI()*Dashboard!$C$3)*SIN(166*PI()*Dashboard!$C$3)</f>
        <v>7.0223514111739063E-2</v>
      </c>
      <c r="C167">
        <f>SUM($B$2:B167)</f>
        <v>165.98163672246733</v>
      </c>
      <c r="E167">
        <f>2*SIN(166*PI()*Dashboard!$C$3)*SIN(166*PI()*Dashboard!$C$4)</f>
        <v>0</v>
      </c>
      <c r="F167">
        <f>SUM($E$2:E167)</f>
        <v>0</v>
      </c>
    </row>
    <row r="168" spans="1:6">
      <c r="A168">
        <v>167</v>
      </c>
      <c r="B168">
        <f>2*SIN(167*PI()*Dashboard!$C$3)*SIN(167*PI()*Dashboard!$C$3)</f>
        <v>1.9822872507286815</v>
      </c>
      <c r="C168">
        <f>SUM($B$2:B168)</f>
        <v>167.96392397319602</v>
      </c>
      <c r="E168">
        <f>2*SIN(167*PI()*Dashboard!$C$3)*SIN(167*PI()*Dashboard!$C$4)</f>
        <v>0</v>
      </c>
      <c r="F168">
        <f>SUM($E$2:E168)</f>
        <v>0</v>
      </c>
    </row>
    <row r="169" spans="1:6">
      <c r="A169">
        <v>168</v>
      </c>
      <c r="B169">
        <f>2*SIN(168*PI()*Dashboard!$C$3)*SIN(168*PI()*Dashboard!$C$3)</f>
        <v>0.27103137257858251</v>
      </c>
      <c r="C169">
        <f>SUM($B$2:B169)</f>
        <v>168.23495534577461</v>
      </c>
      <c r="E169">
        <f>2*SIN(168*PI()*Dashboard!$C$3)*SIN(168*PI()*Dashboard!$C$4)</f>
        <v>0</v>
      </c>
      <c r="F169">
        <f>SUM($E$2:E169)</f>
        <v>0</v>
      </c>
    </row>
    <row r="170" spans="1:6">
      <c r="A170">
        <v>169</v>
      </c>
      <c r="B170">
        <f>2*SIN(169*PI()*Dashboard!$C$3)*SIN(169*PI()*Dashboard!$C$3)</f>
        <v>1.2486898871648524</v>
      </c>
      <c r="C170">
        <f>SUM($B$2:B170)</f>
        <v>169.48364523293947</v>
      </c>
      <c r="E170">
        <f>2*SIN(169*PI()*Dashboard!$C$3)*SIN(169*PI()*Dashboard!$C$4)</f>
        <v>0</v>
      </c>
      <c r="F170">
        <f>SUM($E$2:E170)</f>
        <v>0</v>
      </c>
    </row>
    <row r="171" spans="1:6">
      <c r="A171">
        <v>170</v>
      </c>
      <c r="B171">
        <f>2*SIN(170*PI()*Dashboard!$C$3)*SIN(170*PI()*Dashboard!$C$3)</f>
        <v>1.3090169943749606</v>
      </c>
      <c r="C171">
        <f>SUM($B$2:B171)</f>
        <v>170.79266222731442</v>
      </c>
      <c r="E171">
        <f>2*SIN(170*PI()*Dashboard!$C$3)*SIN(170*PI()*Dashboard!$C$4)</f>
        <v>0</v>
      </c>
      <c r="F171">
        <f>SUM($E$2:E171)</f>
        <v>0</v>
      </c>
    </row>
    <row r="172" spans="1:6">
      <c r="A172">
        <v>171</v>
      </c>
      <c r="B172">
        <f>2*SIN(171*PI()*Dashboard!$C$3)*SIN(171*PI()*Dashboard!$C$3)</f>
        <v>0.22948675722419504</v>
      </c>
      <c r="C172">
        <f>SUM($B$2:B172)</f>
        <v>171.02214898453863</v>
      </c>
      <c r="E172">
        <f>2*SIN(171*PI()*Dashboard!$C$3)*SIN(171*PI()*Dashboard!$C$4)</f>
        <v>0</v>
      </c>
      <c r="F172">
        <f>SUM($E$2:E172)</f>
        <v>0</v>
      </c>
    </row>
    <row r="173" spans="1:6">
      <c r="A173">
        <v>172</v>
      </c>
      <c r="B173">
        <f>2*SIN(172*PI()*Dashboard!$C$3)*SIN(172*PI()*Dashboard!$C$3)</f>
        <v>1.9921147013144822</v>
      </c>
      <c r="C173">
        <f>SUM($B$2:B173)</f>
        <v>173.01426368585311</v>
      </c>
      <c r="E173">
        <f>2*SIN(172*PI()*Dashboard!$C$3)*SIN(172*PI()*Dashboard!$C$4)</f>
        <v>0</v>
      </c>
      <c r="F173">
        <f>SUM($E$2:E173)</f>
        <v>0</v>
      </c>
    </row>
    <row r="174" spans="1:6">
      <c r="A174">
        <v>173</v>
      </c>
      <c r="B174">
        <f>2*SIN(173*PI()*Dashboard!$C$3)*SIN(173*PI()*Dashboard!$C$3)</f>
        <v>9.5172947534000435E-2</v>
      </c>
      <c r="C174">
        <f>SUM($B$2:B174)</f>
        <v>173.10943663338711</v>
      </c>
      <c r="E174">
        <f>2*SIN(173*PI()*Dashboard!$C$3)*SIN(173*PI()*Dashboard!$C$4)</f>
        <v>0</v>
      </c>
      <c r="F174">
        <f>SUM($E$2:E174)</f>
        <v>0</v>
      </c>
    </row>
    <row r="175" spans="1:6">
      <c r="A175">
        <v>174</v>
      </c>
      <c r="B175">
        <f>2*SIN(174*PI()*Dashboard!$C$3)*SIN(174*PI()*Dashboard!$C$3)</f>
        <v>1.5358267949789475</v>
      </c>
      <c r="C175">
        <f>SUM($B$2:B175)</f>
        <v>174.64526342836606</v>
      </c>
      <c r="E175">
        <f>2*SIN(174*PI()*Dashboard!$C$3)*SIN(174*PI()*Dashboard!$C$4)</f>
        <v>0</v>
      </c>
      <c r="F175">
        <f>SUM($E$2:E175)</f>
        <v>0</v>
      </c>
    </row>
    <row r="176" spans="1:6">
      <c r="A176">
        <v>175</v>
      </c>
      <c r="B176">
        <f>2*SIN(175*PI()*Dashboard!$C$3)*SIN(175*PI()*Dashboard!$C$3)</f>
        <v>1.0000000000000693</v>
      </c>
      <c r="C176">
        <f>SUM($B$2:B176)</f>
        <v>175.64526342836612</v>
      </c>
      <c r="E176">
        <f>2*SIN(175*PI()*Dashboard!$C$3)*SIN(175*PI()*Dashboard!$C$4)</f>
        <v>0</v>
      </c>
      <c r="F176">
        <f>SUM($E$2:E176)</f>
        <v>0</v>
      </c>
    </row>
    <row r="177" spans="1:6">
      <c r="A177">
        <v>176</v>
      </c>
      <c r="B177">
        <f>2*SIN(176*PI()*Dashboard!$C$3)*SIN(176*PI()*Dashboard!$C$3)</f>
        <v>0.46417320502093568</v>
      </c>
      <c r="C177">
        <f>SUM($B$2:B177)</f>
        <v>176.10943663338705</v>
      </c>
      <c r="E177">
        <f>2*SIN(176*PI()*Dashboard!$C$3)*SIN(176*PI()*Dashboard!$C$4)</f>
        <v>0</v>
      </c>
      <c r="F177">
        <f>SUM($E$2:E177)</f>
        <v>0</v>
      </c>
    </row>
    <row r="178" spans="1:6">
      <c r="A178">
        <v>177</v>
      </c>
      <c r="B178">
        <f>2*SIN(177*PI()*Dashboard!$C$3)*SIN(177*PI()*Dashboard!$C$3)</f>
        <v>1.9048270524660345</v>
      </c>
      <c r="C178">
        <f>SUM($B$2:B178)</f>
        <v>178.01426368585308</v>
      </c>
      <c r="E178">
        <f>2*SIN(177*PI()*Dashboard!$C$3)*SIN(177*PI()*Dashboard!$C$4)</f>
        <v>0</v>
      </c>
      <c r="F178">
        <f>SUM($E$2:E178)</f>
        <v>0</v>
      </c>
    </row>
    <row r="179" spans="1:6">
      <c r="A179">
        <v>178</v>
      </c>
      <c r="B179">
        <f>2*SIN(178*PI()*Dashboard!$C$3)*SIN(178*PI()*Dashboard!$C$3)</f>
        <v>7.8852986855207606E-3</v>
      </c>
      <c r="C179">
        <f>SUM($B$2:B179)</f>
        <v>178.0221489845386</v>
      </c>
      <c r="E179">
        <f>2*SIN(178*PI()*Dashboard!$C$3)*SIN(178*PI()*Dashboard!$C$4)</f>
        <v>0</v>
      </c>
      <c r="F179">
        <f>SUM($E$2:E179)</f>
        <v>0</v>
      </c>
    </row>
    <row r="180" spans="1:6">
      <c r="A180">
        <v>179</v>
      </c>
      <c r="B180">
        <f>2*SIN(179*PI()*Dashboard!$C$3)*SIN(179*PI()*Dashboard!$C$3)</f>
        <v>1.7705132427757893</v>
      </c>
      <c r="C180">
        <f>SUM($B$2:B180)</f>
        <v>179.79266222731439</v>
      </c>
      <c r="E180">
        <f>2*SIN(179*PI()*Dashboard!$C$3)*SIN(179*PI()*Dashboard!$C$4)</f>
        <v>0</v>
      </c>
      <c r="F180">
        <f>SUM($E$2:E180)</f>
        <v>0</v>
      </c>
    </row>
    <row r="181" spans="1:6">
      <c r="A181">
        <v>180</v>
      </c>
      <c r="B181">
        <f>2*SIN(180*PI()*Dashboard!$C$3)*SIN(180*PI()*Dashboard!$C$3)</f>
        <v>0.69098300562506298</v>
      </c>
      <c r="C181">
        <f>SUM($B$2:B181)</f>
        <v>180.48364523293947</v>
      </c>
      <c r="E181">
        <f>2*SIN(180*PI()*Dashboard!$C$3)*SIN(180*PI()*Dashboard!$C$4)</f>
        <v>0</v>
      </c>
      <c r="F181">
        <f>SUM($E$2:E181)</f>
        <v>0</v>
      </c>
    </row>
    <row r="182" spans="1:6">
      <c r="A182">
        <v>181</v>
      </c>
      <c r="B182">
        <f>2*SIN(181*PI()*Dashboard!$C$3)*SIN(181*PI()*Dashboard!$C$3)</f>
        <v>0.75131011283512372</v>
      </c>
      <c r="C182">
        <f>SUM($B$2:B182)</f>
        <v>181.23495534577458</v>
      </c>
      <c r="E182">
        <f>2*SIN(181*PI()*Dashboard!$C$3)*SIN(181*PI()*Dashboard!$C$4)</f>
        <v>0</v>
      </c>
      <c r="F182">
        <f>SUM($E$2:E182)</f>
        <v>0</v>
      </c>
    </row>
    <row r="183" spans="1:6">
      <c r="A183">
        <v>182</v>
      </c>
      <c r="B183">
        <f>2*SIN(182*PI()*Dashboard!$C$3)*SIN(182*PI()*Dashboard!$C$3)</f>
        <v>1.7289686274214344</v>
      </c>
      <c r="C183">
        <f>SUM($B$2:B183)</f>
        <v>182.96392397319602</v>
      </c>
      <c r="E183">
        <f>2*SIN(182*PI()*Dashboard!$C$3)*SIN(182*PI()*Dashboard!$C$4)</f>
        <v>0</v>
      </c>
      <c r="F183">
        <f>SUM($E$2:E183)</f>
        <v>0</v>
      </c>
    </row>
    <row r="184" spans="1:6">
      <c r="A184">
        <v>183</v>
      </c>
      <c r="B184">
        <f>2*SIN(183*PI()*Dashboard!$C$3)*SIN(183*PI()*Dashboard!$C$3)</f>
        <v>1.7712749271303015E-2</v>
      </c>
      <c r="C184">
        <f>SUM($B$2:B184)</f>
        <v>182.98163672246733</v>
      </c>
      <c r="E184">
        <f>2*SIN(183*PI()*Dashboard!$C$3)*SIN(183*PI()*Dashboard!$C$4)</f>
        <v>0</v>
      </c>
      <c r="F184">
        <f>SUM($E$2:E184)</f>
        <v>0</v>
      </c>
    </row>
    <row r="185" spans="1:6">
      <c r="A185">
        <v>184</v>
      </c>
      <c r="B185">
        <f>2*SIN(184*PI()*Dashboard!$C$3)*SIN(184*PI()*Dashboard!$C$3)</f>
        <v>1.9297764858882311</v>
      </c>
      <c r="C185">
        <f>SUM($B$2:B185)</f>
        <v>184.91141320835555</v>
      </c>
      <c r="E185">
        <f>2*SIN(184*PI()*Dashboard!$C$3)*SIN(184*PI()*Dashboard!$C$4)</f>
        <v>0</v>
      </c>
      <c r="F185">
        <f>SUM($E$2:E185)</f>
        <v>0</v>
      </c>
    </row>
    <row r="186" spans="1:6">
      <c r="A186">
        <v>185</v>
      </c>
      <c r="B186">
        <f>2*SIN(185*PI()*Dashboard!$C$3)*SIN(185*PI()*Dashboard!$C$3)</f>
        <v>0.41221474770758071</v>
      </c>
      <c r="C186">
        <f>SUM($B$2:B186)</f>
        <v>185.32362795606315</v>
      </c>
      <c r="E186">
        <f>2*SIN(185*PI()*Dashboard!$C$3)*SIN(185*PI()*Dashboard!$C$4)</f>
        <v>0</v>
      </c>
      <c r="F186">
        <f>SUM($E$2:E186)</f>
        <v>0</v>
      </c>
    </row>
    <row r="187" spans="1:6">
      <c r="A187">
        <v>186</v>
      </c>
      <c r="B187">
        <f>2*SIN(186*PI()*Dashboard!$C$3)*SIN(186*PI()*Dashboard!$C$3)</f>
        <v>1.0627905195292358</v>
      </c>
      <c r="C187">
        <f>SUM($B$2:B187)</f>
        <v>186.38641847559239</v>
      </c>
      <c r="E187">
        <f>2*SIN(186*PI()*Dashboard!$C$3)*SIN(186*PI()*Dashboard!$C$4)</f>
        <v>0</v>
      </c>
      <c r="F187">
        <f>SUM($E$2:E187)</f>
        <v>0</v>
      </c>
    </row>
    <row r="188" spans="1:6">
      <c r="A188">
        <v>187</v>
      </c>
      <c r="B188">
        <f>2*SIN(187*PI()*Dashboard!$C$3)*SIN(187*PI()*Dashboard!$C$3)</f>
        <v>1.4817536741017432</v>
      </c>
      <c r="C188">
        <f>SUM($B$2:B188)</f>
        <v>187.86817214969415</v>
      </c>
      <c r="E188">
        <f>2*SIN(187*PI()*Dashboard!$C$3)*SIN(187*PI()*Dashboard!$C$4)</f>
        <v>0</v>
      </c>
      <c r="F188">
        <f>SUM($E$2:E188)</f>
        <v>0</v>
      </c>
    </row>
    <row r="189" spans="1:6">
      <c r="A189">
        <v>188</v>
      </c>
      <c r="B189">
        <f>2*SIN(188*PI()*Dashboard!$C$3)*SIN(188*PI()*Dashboard!$C$3)</f>
        <v>0.12369331995614308</v>
      </c>
      <c r="C189">
        <f>SUM($B$2:B189)</f>
        <v>187.99186546965029</v>
      </c>
      <c r="E189">
        <f>2*SIN(188*PI()*Dashboard!$C$3)*SIN(188*PI()*Dashboard!$C$4)</f>
        <v>0</v>
      </c>
      <c r="F189">
        <f>SUM($E$2:E189)</f>
        <v>0</v>
      </c>
    </row>
    <row r="190" spans="1:6">
      <c r="A190">
        <v>189</v>
      </c>
      <c r="B190">
        <f>2*SIN(189*PI()*Dashboard!$C$3)*SIN(189*PI()*Dashboard!$C$3)</f>
        <v>1.9980267284282718</v>
      </c>
      <c r="C190">
        <f>SUM($B$2:B190)</f>
        <v>189.98989219807856</v>
      </c>
      <c r="E190">
        <f>2*SIN(189*PI()*Dashboard!$C$3)*SIN(189*PI()*Dashboard!$C$4)</f>
        <v>0</v>
      </c>
      <c r="F190">
        <f>SUM($E$2:E190)</f>
        <v>0</v>
      </c>
    </row>
    <row r="191" spans="1:6">
      <c r="A191">
        <v>190</v>
      </c>
      <c r="B191">
        <f>2*SIN(190*PI()*Dashboard!$C$3)*SIN(190*PI()*Dashboard!$C$3)</f>
        <v>0.19098300562505754</v>
      </c>
      <c r="C191">
        <f>SUM($B$2:B191)</f>
        <v>190.18087520370364</v>
      </c>
      <c r="E191">
        <f>2*SIN(190*PI()*Dashboard!$C$3)*SIN(190*PI()*Dashboard!$C$4)</f>
        <v>0</v>
      </c>
      <c r="F191">
        <f>SUM($E$2:E191)</f>
        <v>0</v>
      </c>
    </row>
    <row r="192" spans="1:6">
      <c r="A192">
        <v>191</v>
      </c>
      <c r="B192">
        <f>2*SIN(191*PI()*Dashboard!$C$3)*SIN(191*PI()*Dashboard!$C$3)</f>
        <v>1.3681245526846597</v>
      </c>
      <c r="C192">
        <f>SUM($B$2:B192)</f>
        <v>191.5489997563883</v>
      </c>
      <c r="E192">
        <f>2*SIN(191*PI()*Dashboard!$C$3)*SIN(191*PI()*Dashboard!$C$4)</f>
        <v>0</v>
      </c>
      <c r="F192">
        <f>SUM($E$2:E192)</f>
        <v>0</v>
      </c>
    </row>
    <row r="193" spans="1:6">
      <c r="A193">
        <v>192</v>
      </c>
      <c r="B193">
        <f>2*SIN(192*PI()*Dashboard!$C$3)*SIN(192*PI()*Dashboard!$C$3)</f>
        <v>1.1873813145857548</v>
      </c>
      <c r="C193">
        <f>SUM($B$2:B193)</f>
        <v>192.73638107097406</v>
      </c>
      <c r="E193">
        <f>2*SIN(192*PI()*Dashboard!$C$3)*SIN(192*PI()*Dashboard!$C$4)</f>
        <v>0</v>
      </c>
      <c r="F193">
        <f>SUM($E$2:E193)</f>
        <v>0</v>
      </c>
    </row>
    <row r="194" spans="1:6">
      <c r="A194">
        <v>193</v>
      </c>
      <c r="B194">
        <f>2*SIN(193*PI()*Dashboard!$C$3)*SIN(193*PI()*Dashboard!$C$3)</f>
        <v>0.31545289407128091</v>
      </c>
      <c r="C194">
        <f>SUM($B$2:B194)</f>
        <v>193.05183396504535</v>
      </c>
      <c r="E194">
        <f>2*SIN(193*PI()*Dashboard!$C$3)*SIN(193*PI()*Dashboard!$C$4)</f>
        <v>0</v>
      </c>
      <c r="F194">
        <f>SUM($E$2:E194)</f>
        <v>0</v>
      </c>
    </row>
    <row r="195" spans="1:6">
      <c r="A195">
        <v>194</v>
      </c>
      <c r="B195">
        <f>2*SIN(194*PI()*Dashboard!$C$3)*SIN(194*PI()*Dashboard!$C$3)</f>
        <v>1.9685831611286442</v>
      </c>
      <c r="C195">
        <f>SUM($B$2:B195)</f>
        <v>195.02041712617398</v>
      </c>
      <c r="E195">
        <f>2*SIN(194*PI()*Dashboard!$C$3)*SIN(194*PI()*Dashboard!$C$4)</f>
        <v>0</v>
      </c>
      <c r="F195">
        <f>SUM($E$2:E195)</f>
        <v>0</v>
      </c>
    </row>
    <row r="196" spans="1:6">
      <c r="A196">
        <v>195</v>
      </c>
      <c r="B196">
        <f>2*SIN(195*PI()*Dashboard!$C$3)*SIN(195*PI()*Dashboard!$C$3)</f>
        <v>4.894348370486621E-2</v>
      </c>
      <c r="C196">
        <f>SUM($B$2:B196)</f>
        <v>195.06936060987886</v>
      </c>
      <c r="E196">
        <f>2*SIN(195*PI()*Dashboard!$C$3)*SIN(195*PI()*Dashboard!$C$4)</f>
        <v>0</v>
      </c>
      <c r="F196">
        <f>SUM($E$2:E196)</f>
        <v>0</v>
      </c>
    </row>
    <row r="197" spans="1:6">
      <c r="A197">
        <v>196</v>
      </c>
      <c r="B197">
        <f>2*SIN(196*PI()*Dashboard!$C$3)*SIN(196*PI()*Dashboard!$C$3)</f>
        <v>1.637423989748632</v>
      </c>
      <c r="C197">
        <f>SUM($B$2:B197)</f>
        <v>196.7067845996275</v>
      </c>
      <c r="E197">
        <f>2*SIN(196*PI()*Dashboard!$C$3)*SIN(196*PI()*Dashboard!$C$4)</f>
        <v>0</v>
      </c>
      <c r="F197">
        <f>SUM($E$2:E197)</f>
        <v>0</v>
      </c>
    </row>
    <row r="198" spans="1:6">
      <c r="A198">
        <v>197</v>
      </c>
      <c r="B198">
        <f>2*SIN(197*PI()*Dashboard!$C$3)*SIN(197*PI()*Dashboard!$C$3)</f>
        <v>0.87466676643578134</v>
      </c>
      <c r="C198">
        <f>SUM($B$2:B198)</f>
        <v>197.58145136606328</v>
      </c>
      <c r="E198">
        <f>2*SIN(197*PI()*Dashboard!$C$3)*SIN(197*PI()*Dashboard!$C$4)</f>
        <v>0</v>
      </c>
      <c r="F198">
        <f>SUM($E$2:E198)</f>
        <v>0</v>
      </c>
    </row>
    <row r="199" spans="1:6">
      <c r="A199">
        <v>198</v>
      </c>
      <c r="B199">
        <f>2*SIN(198*PI()*Dashboard!$C$3)*SIN(198*PI()*Dashboard!$C$3)</f>
        <v>0.57422070843494222</v>
      </c>
      <c r="C199">
        <f>SUM($B$2:B199)</f>
        <v>198.15567207449823</v>
      </c>
      <c r="E199">
        <f>2*SIN(198*PI()*Dashboard!$C$3)*SIN(198*PI()*Dashboard!$C$4)</f>
        <v>0</v>
      </c>
      <c r="F199">
        <f>SUM($E$2:E199)</f>
        <v>0</v>
      </c>
    </row>
    <row r="200" spans="1:6">
      <c r="A200">
        <v>199</v>
      </c>
      <c r="B200">
        <f>2*SIN(199*PI()*Dashboard!$C$3)*SIN(199*PI()*Dashboard!$C$3)</f>
        <v>1.8443279255020428</v>
      </c>
      <c r="C200">
        <f>SUM($B$2:B200)</f>
        <v>200.00000000000028</v>
      </c>
      <c r="E200">
        <f>2*SIN(199*PI()*Dashboard!$C$3)*SIN(199*PI()*Dashboard!$C$4)</f>
        <v>0</v>
      </c>
      <c r="F200">
        <f>SUM($E$2:E200)</f>
        <v>0</v>
      </c>
    </row>
    <row r="201" spans="1:6">
      <c r="A201">
        <v>200</v>
      </c>
      <c r="B201">
        <f>2*SIN(200*PI()*Dashboard!$C$3)*SIN(200*PI()*Dashboard!$C$3)</f>
        <v>1.9672127376130861E-27</v>
      </c>
      <c r="C201">
        <f>SUM($B$2:B201)</f>
        <v>200.00000000000028</v>
      </c>
      <c r="E201">
        <f>2*SIN(200*PI()*Dashboard!$C$3)*SIN(200*PI()*Dashboard!$C$4)</f>
        <v>0</v>
      </c>
      <c r="F201">
        <f>SUM($E$2:E201)</f>
        <v>0</v>
      </c>
    </row>
    <row r="202" spans="1:6">
      <c r="A202">
        <v>201</v>
      </c>
      <c r="B202">
        <f>2*SIN(201*PI()*Dashboard!$C$3)*SIN(201*PI()*Dashboard!$C$3)</f>
        <v>1.8443279255019753</v>
      </c>
      <c r="C202">
        <f>SUM($B$2:B202)</f>
        <v>201.84432792550226</v>
      </c>
      <c r="E202">
        <f>2*SIN(201*PI()*Dashboard!$C$3)*SIN(201*PI()*Dashboard!$C$4)</f>
        <v>0</v>
      </c>
      <c r="F202">
        <f>SUM($E$2:E202)</f>
        <v>0</v>
      </c>
    </row>
    <row r="203" spans="1:6">
      <c r="A203">
        <v>202</v>
      </c>
      <c r="B203">
        <f>2*SIN(202*PI()*Dashboard!$C$3)*SIN(202*PI()*Dashboard!$C$3)</f>
        <v>0.57422070843500428</v>
      </c>
      <c r="C203">
        <f>SUM($B$2:B203)</f>
        <v>202.41854863393726</v>
      </c>
      <c r="E203">
        <f>2*SIN(202*PI()*Dashboard!$C$3)*SIN(202*PI()*Dashboard!$C$4)</f>
        <v>0</v>
      </c>
      <c r="F203">
        <f>SUM($E$2:E203)</f>
        <v>0</v>
      </c>
    </row>
    <row r="204" spans="1:6">
      <c r="A204">
        <v>203</v>
      </c>
      <c r="B204">
        <f>2*SIN(203*PI()*Dashboard!$C$3)*SIN(203*PI()*Dashboard!$C$3)</f>
        <v>0.87466676643560048</v>
      </c>
      <c r="C204">
        <f>SUM($B$2:B204)</f>
        <v>203.29321540037287</v>
      </c>
      <c r="E204">
        <f>2*SIN(203*PI()*Dashboard!$C$3)*SIN(203*PI()*Dashboard!$C$4)</f>
        <v>0</v>
      </c>
      <c r="F204">
        <f>SUM($E$2:E204)</f>
        <v>0</v>
      </c>
    </row>
    <row r="205" spans="1:6">
      <c r="A205">
        <v>204</v>
      </c>
      <c r="B205">
        <f>2*SIN(204*PI()*Dashboard!$C$3)*SIN(204*PI()*Dashboard!$C$3)</f>
        <v>1.6374239897487723</v>
      </c>
      <c r="C205">
        <f>SUM($B$2:B205)</f>
        <v>204.93063939012166</v>
      </c>
      <c r="E205">
        <f>2*SIN(204*PI()*Dashboard!$C$3)*SIN(204*PI()*Dashboard!$C$4)</f>
        <v>0</v>
      </c>
      <c r="F205">
        <f>SUM($E$2:E205)</f>
        <v>0</v>
      </c>
    </row>
    <row r="206" spans="1:6">
      <c r="A206">
        <v>205</v>
      </c>
      <c r="B206">
        <f>2*SIN(205*PI()*Dashboard!$C$3)*SIN(205*PI()*Dashboard!$C$3)</f>
        <v>4.8943483704809866E-2</v>
      </c>
      <c r="C206">
        <f>SUM($B$2:B206)</f>
        <v>204.97958287382647</v>
      </c>
      <c r="E206">
        <f>2*SIN(205*PI()*Dashboard!$C$3)*SIN(205*PI()*Dashboard!$C$4)</f>
        <v>0</v>
      </c>
      <c r="F206">
        <f>SUM($E$2:E206)</f>
        <v>0</v>
      </c>
    </row>
    <row r="207" spans="1:6">
      <c r="A207">
        <v>206</v>
      </c>
      <c r="B207">
        <f>2*SIN(206*PI()*Dashboard!$C$3)*SIN(206*PI()*Dashboard!$C$3)</f>
        <v>1.9685831611285991</v>
      </c>
      <c r="C207">
        <f>SUM($B$2:B207)</f>
        <v>206.94816603495508</v>
      </c>
      <c r="E207">
        <f>2*SIN(206*PI()*Dashboard!$C$3)*SIN(206*PI()*Dashboard!$C$4)</f>
        <v>0</v>
      </c>
      <c r="F207">
        <f>SUM($E$2:E207)</f>
        <v>0</v>
      </c>
    </row>
    <row r="208" spans="1:6">
      <c r="A208">
        <v>207</v>
      </c>
      <c r="B208">
        <f>2*SIN(207*PI()*Dashboard!$C$3)*SIN(207*PI()*Dashboard!$C$3)</f>
        <v>0.31545289407141369</v>
      </c>
      <c r="C208">
        <f>SUM($B$2:B208)</f>
        <v>207.26361892902651</v>
      </c>
      <c r="E208">
        <f>2*SIN(207*PI()*Dashboard!$C$3)*SIN(207*PI()*Dashboard!$C$4)</f>
        <v>0</v>
      </c>
      <c r="F208">
        <f>SUM($E$2:E208)</f>
        <v>0</v>
      </c>
    </row>
    <row r="209" spans="1:6">
      <c r="A209">
        <v>208</v>
      </c>
      <c r="B209">
        <f>2*SIN(208*PI()*Dashboard!$C$3)*SIN(208*PI()*Dashboard!$C$3)</f>
        <v>1.1873813145856873</v>
      </c>
      <c r="C209">
        <f>SUM($B$2:B209)</f>
        <v>208.45100024361219</v>
      </c>
      <c r="E209">
        <f>2*SIN(208*PI()*Dashboard!$C$3)*SIN(208*PI()*Dashboard!$C$4)</f>
        <v>0</v>
      </c>
      <c r="F209">
        <f>SUM($E$2:E209)</f>
        <v>0</v>
      </c>
    </row>
    <row r="210" spans="1:6">
      <c r="A210">
        <v>209</v>
      </c>
      <c r="B210">
        <f>2*SIN(209*PI()*Dashboard!$C$3)*SIN(209*PI()*Dashboard!$C$3)</f>
        <v>1.3681245526847234</v>
      </c>
      <c r="C210">
        <f>SUM($B$2:B210)</f>
        <v>209.8191247962969</v>
      </c>
      <c r="E210">
        <f>2*SIN(209*PI()*Dashboard!$C$3)*SIN(209*PI()*Dashboard!$C$4)</f>
        <v>0</v>
      </c>
      <c r="F210">
        <f>SUM($E$2:E210)</f>
        <v>0</v>
      </c>
    </row>
    <row r="211" spans="1:6">
      <c r="A211">
        <v>210</v>
      </c>
      <c r="B211">
        <f>2*SIN(210*PI()*Dashboard!$C$3)*SIN(210*PI()*Dashboard!$C$3)</f>
        <v>0.19098300562501722</v>
      </c>
      <c r="C211">
        <f>SUM($B$2:B211)</f>
        <v>210.01010780192192</v>
      </c>
      <c r="E211">
        <f>2*SIN(210*PI()*Dashboard!$C$3)*SIN(210*PI()*Dashboard!$C$4)</f>
        <v>0</v>
      </c>
      <c r="F211">
        <f>SUM($E$2:E211)</f>
        <v>0</v>
      </c>
    </row>
    <row r="212" spans="1:6">
      <c r="A212">
        <v>211</v>
      </c>
      <c r="B212">
        <f>2*SIN(211*PI()*Dashboard!$C$3)*SIN(211*PI()*Dashboard!$C$3)</f>
        <v>1.9980267284282762</v>
      </c>
      <c r="C212">
        <f>SUM($B$2:B212)</f>
        <v>212.00813453035019</v>
      </c>
      <c r="E212">
        <f>2*SIN(211*PI()*Dashboard!$C$3)*SIN(211*PI()*Dashboard!$C$4)</f>
        <v>0</v>
      </c>
      <c r="F212">
        <f>SUM($E$2:E212)</f>
        <v>0</v>
      </c>
    </row>
    <row r="213" spans="1:6">
      <c r="A213">
        <v>212</v>
      </c>
      <c r="B213">
        <f>2*SIN(212*PI()*Dashboard!$C$3)*SIN(212*PI()*Dashboard!$C$3)</f>
        <v>0.12369331995617612</v>
      </c>
      <c r="C213">
        <f>SUM($B$2:B213)</f>
        <v>212.13182785030637</v>
      </c>
      <c r="E213">
        <f>2*SIN(212*PI()*Dashboard!$C$3)*SIN(212*PI()*Dashboard!$C$4)</f>
        <v>0</v>
      </c>
      <c r="F213">
        <f>SUM($E$2:E213)</f>
        <v>0</v>
      </c>
    </row>
    <row r="214" spans="1:6">
      <c r="A214">
        <v>213</v>
      </c>
      <c r="B214">
        <f>2*SIN(213*PI()*Dashboard!$C$3)*SIN(213*PI()*Dashboard!$C$3)</f>
        <v>1.4817536741016335</v>
      </c>
      <c r="C214">
        <f>SUM($B$2:B214)</f>
        <v>213.613581524408</v>
      </c>
      <c r="E214">
        <f>2*SIN(213*PI()*Dashboard!$C$3)*SIN(213*PI()*Dashboard!$C$4)</f>
        <v>0</v>
      </c>
      <c r="F214">
        <f>SUM($E$2:E214)</f>
        <v>0</v>
      </c>
    </row>
    <row r="215" spans="1:6">
      <c r="A215">
        <v>214</v>
      </c>
      <c r="B215">
        <f>2*SIN(214*PI()*Dashboard!$C$3)*SIN(214*PI()*Dashboard!$C$3)</f>
        <v>1.0627905195294176</v>
      </c>
      <c r="C215">
        <f>SUM($B$2:B215)</f>
        <v>214.67637204393742</v>
      </c>
      <c r="E215">
        <f>2*SIN(214*PI()*Dashboard!$C$3)*SIN(214*PI()*Dashboard!$C$4)</f>
        <v>0</v>
      </c>
      <c r="F215">
        <f>SUM($E$2:E215)</f>
        <v>0</v>
      </c>
    </row>
    <row r="216" spans="1:6">
      <c r="A216">
        <v>215</v>
      </c>
      <c r="B216">
        <f>2*SIN(215*PI()*Dashboard!$C$3)*SIN(215*PI()*Dashboard!$C$3)</f>
        <v>0.41221474770743327</v>
      </c>
      <c r="C216">
        <f>SUM($B$2:B216)</f>
        <v>215.08858679164484</v>
      </c>
      <c r="E216">
        <f>2*SIN(215*PI()*Dashboard!$C$3)*SIN(215*PI()*Dashboard!$C$4)</f>
        <v>0</v>
      </c>
      <c r="F216">
        <f>SUM($E$2:E216)</f>
        <v>0</v>
      </c>
    </row>
    <row r="217" spans="1:6">
      <c r="A217">
        <v>216</v>
      </c>
      <c r="B217">
        <f>2*SIN(216*PI()*Dashboard!$C$3)*SIN(216*PI()*Dashboard!$C$3)</f>
        <v>1.9297764858882982</v>
      </c>
      <c r="C217">
        <f>SUM($B$2:B217)</f>
        <v>217.01836327753315</v>
      </c>
      <c r="E217">
        <f>2*SIN(216*PI()*Dashboard!$C$3)*SIN(216*PI()*Dashboard!$C$4)</f>
        <v>0</v>
      </c>
      <c r="F217">
        <f>SUM($E$2:E217)</f>
        <v>0</v>
      </c>
    </row>
    <row r="218" spans="1:6">
      <c r="A218">
        <v>217</v>
      </c>
      <c r="B218">
        <f>2*SIN(217*PI()*Dashboard!$C$3)*SIN(217*PI()*Dashboard!$C$3)</f>
        <v>1.7712749271337175E-2</v>
      </c>
      <c r="C218">
        <f>SUM($B$2:B218)</f>
        <v>217.03607602680449</v>
      </c>
      <c r="E218">
        <f>2*SIN(217*PI()*Dashboard!$C$3)*SIN(217*PI()*Dashboard!$C$4)</f>
        <v>0</v>
      </c>
      <c r="F218">
        <f>SUM($E$2:E218)</f>
        <v>0</v>
      </c>
    </row>
    <row r="219" spans="1:6">
      <c r="A219">
        <v>218</v>
      </c>
      <c r="B219">
        <f>2*SIN(218*PI()*Dashboard!$C$3)*SIN(218*PI()*Dashboard!$C$3)</f>
        <v>1.7289686274213094</v>
      </c>
      <c r="C219">
        <f>SUM($B$2:B219)</f>
        <v>218.76504465422579</v>
      </c>
      <c r="E219">
        <f>2*SIN(218*PI()*Dashboard!$C$3)*SIN(218*PI()*Dashboard!$C$4)</f>
        <v>0</v>
      </c>
      <c r="F219">
        <f>SUM($E$2:E219)</f>
        <v>0</v>
      </c>
    </row>
    <row r="220" spans="1:6">
      <c r="A220">
        <v>219</v>
      </c>
      <c r="B220">
        <f>2*SIN(219*PI()*Dashboard!$C$3)*SIN(219*PI()*Dashboard!$C$3)</f>
        <v>0.75131011283519034</v>
      </c>
      <c r="C220">
        <f>SUM($B$2:B220)</f>
        <v>219.51635476706099</v>
      </c>
      <c r="E220">
        <f>2*SIN(219*PI()*Dashboard!$C$3)*SIN(219*PI()*Dashboard!$C$4)</f>
        <v>0</v>
      </c>
      <c r="F220">
        <f>SUM($E$2:E220)</f>
        <v>0</v>
      </c>
    </row>
    <row r="221" spans="1:6">
      <c r="A221">
        <v>220</v>
      </c>
      <c r="B221">
        <f>2*SIN(220*PI()*Dashboard!$C$3)*SIN(220*PI()*Dashboard!$C$3)</f>
        <v>0.69098300562499781</v>
      </c>
      <c r="C221">
        <f>SUM($B$2:B221)</f>
        <v>220.20733777268597</v>
      </c>
      <c r="E221">
        <f>2*SIN(220*PI()*Dashboard!$C$3)*SIN(220*PI()*Dashboard!$C$4)</f>
        <v>0</v>
      </c>
      <c r="F221">
        <f>SUM($E$2:E221)</f>
        <v>0</v>
      </c>
    </row>
    <row r="222" spans="1:6">
      <c r="A222">
        <v>221</v>
      </c>
      <c r="B222">
        <f>2*SIN(221*PI()*Dashboard!$C$3)*SIN(221*PI()*Dashboard!$C$3)</f>
        <v>1.770513242775833</v>
      </c>
      <c r="C222">
        <f>SUM($B$2:B222)</f>
        <v>221.97785101546179</v>
      </c>
      <c r="E222">
        <f>2*SIN(221*PI()*Dashboard!$C$3)*SIN(221*PI()*Dashboard!$C$4)</f>
        <v>0</v>
      </c>
      <c r="F222">
        <f>SUM($E$2:E222)</f>
        <v>0</v>
      </c>
    </row>
    <row r="223" spans="1:6">
      <c r="A223">
        <v>222</v>
      </c>
      <c r="B223">
        <f>2*SIN(222*PI()*Dashboard!$C$3)*SIN(222*PI()*Dashboard!$C$3)</f>
        <v>7.8852986855121616E-3</v>
      </c>
      <c r="C223">
        <f>SUM($B$2:B223)</f>
        <v>221.98573631414732</v>
      </c>
      <c r="E223">
        <f>2*SIN(222*PI()*Dashboard!$C$3)*SIN(222*PI()*Dashboard!$C$4)</f>
        <v>0</v>
      </c>
      <c r="F223">
        <f>SUM($E$2:E223)</f>
        <v>0</v>
      </c>
    </row>
    <row r="224" spans="1:6">
      <c r="A224">
        <v>223</v>
      </c>
      <c r="B224">
        <f>2*SIN(223*PI()*Dashboard!$C$3)*SIN(223*PI()*Dashboard!$C$3)</f>
        <v>1.9048270524659807</v>
      </c>
      <c r="C224">
        <f>SUM($B$2:B224)</f>
        <v>223.89056336661329</v>
      </c>
      <c r="E224">
        <f>2*SIN(223*PI()*Dashboard!$C$3)*SIN(223*PI()*Dashboard!$C$4)</f>
        <v>0</v>
      </c>
      <c r="F224">
        <f>SUM($E$2:E224)</f>
        <v>0</v>
      </c>
    </row>
    <row r="225" spans="1:6">
      <c r="A225">
        <v>224</v>
      </c>
      <c r="B225">
        <f>2*SIN(224*PI()*Dashboard!$C$3)*SIN(224*PI()*Dashboard!$C$3)</f>
        <v>0.46417320502108961</v>
      </c>
      <c r="C225">
        <f>SUM($B$2:B225)</f>
        <v>224.35473657163439</v>
      </c>
      <c r="E225">
        <f>2*SIN(224*PI()*Dashboard!$C$3)*SIN(224*PI()*Dashboard!$C$4)</f>
        <v>0</v>
      </c>
      <c r="F225">
        <f>SUM($E$2:E225)</f>
        <v>0</v>
      </c>
    </row>
    <row r="226" spans="1:6">
      <c r="A226">
        <v>225</v>
      </c>
      <c r="B226">
        <f>2*SIN(225*PI()*Dashboard!$C$3)*SIN(225*PI()*Dashboard!$C$3)</f>
        <v>0.99999999999988676</v>
      </c>
      <c r="C226">
        <f>SUM($B$2:B226)</f>
        <v>225.35473657163428</v>
      </c>
      <c r="E226">
        <f>2*SIN(225*PI()*Dashboard!$C$3)*SIN(225*PI()*Dashboard!$C$4)</f>
        <v>0</v>
      </c>
      <c r="F226">
        <f>SUM($E$2:E226)</f>
        <v>0</v>
      </c>
    </row>
    <row r="227" spans="1:6">
      <c r="A227">
        <v>226</v>
      </c>
      <c r="B227">
        <f>2*SIN(226*PI()*Dashboard!$C$3)*SIN(226*PI()*Dashboard!$C$3)</f>
        <v>1.5358267949791016</v>
      </c>
      <c r="C227">
        <f>SUM($B$2:B227)</f>
        <v>226.89056336661338</v>
      </c>
      <c r="E227">
        <f>2*SIN(226*PI()*Dashboard!$C$3)*SIN(226*PI()*Dashboard!$C$4)</f>
        <v>0</v>
      </c>
      <c r="F227">
        <f>SUM($E$2:E227)</f>
        <v>0</v>
      </c>
    </row>
    <row r="228" spans="1:6">
      <c r="A228">
        <v>227</v>
      </c>
      <c r="B228">
        <f>2*SIN(227*PI()*Dashboard!$C$3)*SIN(227*PI()*Dashboard!$C$3)</f>
        <v>9.5172947533922816E-2</v>
      </c>
      <c r="C228">
        <f>SUM($B$2:B228)</f>
        <v>226.98573631414729</v>
      </c>
      <c r="E228">
        <f>2*SIN(227*PI()*Dashboard!$C$3)*SIN(227*PI()*Dashboard!$C$4)</f>
        <v>0</v>
      </c>
      <c r="F228">
        <f>SUM($E$2:E228)</f>
        <v>0</v>
      </c>
    </row>
    <row r="229" spans="1:6">
      <c r="A229">
        <v>228</v>
      </c>
      <c r="B229">
        <f>2*SIN(228*PI()*Dashboard!$C$3)*SIN(228*PI()*Dashboard!$C$3)</f>
        <v>1.9921147013144596</v>
      </c>
      <c r="C229">
        <f>SUM($B$2:B229)</f>
        <v>228.97785101546174</v>
      </c>
      <c r="E229">
        <f>2*SIN(228*PI()*Dashboard!$C$3)*SIN(228*PI()*Dashboard!$C$4)</f>
        <v>0</v>
      </c>
      <c r="F229">
        <f>SUM($E$2:E229)</f>
        <v>0</v>
      </c>
    </row>
    <row r="230" spans="1:6">
      <c r="A230">
        <v>229</v>
      </c>
      <c r="B230">
        <f>2*SIN(229*PI()*Dashboard!$C$3)*SIN(229*PI()*Dashboard!$C$3)</f>
        <v>0.22948675722431125</v>
      </c>
      <c r="C230">
        <f>SUM($B$2:B230)</f>
        <v>229.20733777268606</v>
      </c>
      <c r="E230">
        <f>2*SIN(229*PI()*Dashboard!$C$3)*SIN(229*PI()*Dashboard!$C$4)</f>
        <v>0</v>
      </c>
      <c r="F230">
        <f>SUM($E$2:E230)</f>
        <v>0</v>
      </c>
    </row>
    <row r="231" spans="1:6">
      <c r="A231">
        <v>230</v>
      </c>
      <c r="B231">
        <f>2*SIN(230*PI()*Dashboard!$C$3)*SIN(230*PI()*Dashboard!$C$3)</f>
        <v>1.309016994374895</v>
      </c>
      <c r="C231">
        <f>SUM($B$2:B231)</f>
        <v>230.51635476706096</v>
      </c>
      <c r="E231">
        <f>2*SIN(230*PI()*Dashboard!$C$3)*SIN(230*PI()*Dashboard!$C$4)</f>
        <v>0</v>
      </c>
      <c r="F231">
        <f>SUM($E$2:E231)</f>
        <v>0</v>
      </c>
    </row>
    <row r="232" spans="1:6">
      <c r="A232">
        <v>231</v>
      </c>
      <c r="B232">
        <f>2*SIN(231*PI()*Dashboard!$C$3)*SIN(231*PI()*Dashboard!$C$3)</f>
        <v>1.2486898871649188</v>
      </c>
      <c r="C232">
        <f>SUM($B$2:B232)</f>
        <v>231.76504465422587</v>
      </c>
      <c r="E232">
        <f>2*SIN(231*PI()*Dashboard!$C$3)*SIN(231*PI()*Dashboard!$C$4)</f>
        <v>0</v>
      </c>
      <c r="F232">
        <f>SUM($E$2:E232)</f>
        <v>0</v>
      </c>
    </row>
    <row r="233" spans="1:6">
      <c r="A233">
        <v>232</v>
      </c>
      <c r="B233">
        <f>2*SIN(232*PI()*Dashboard!$C$3)*SIN(232*PI()*Dashboard!$C$3)</f>
        <v>0.27103137257853555</v>
      </c>
      <c r="C233">
        <f>SUM($B$2:B233)</f>
        <v>232.03607602680441</v>
      </c>
      <c r="E233">
        <f>2*SIN(232*PI()*Dashboard!$C$3)*SIN(232*PI()*Dashboard!$C$4)</f>
        <v>0</v>
      </c>
      <c r="F233">
        <f>SUM($E$2:E233)</f>
        <v>0</v>
      </c>
    </row>
    <row r="234" spans="1:6">
      <c r="A234">
        <v>233</v>
      </c>
      <c r="B234">
        <f>2*SIN(233*PI()*Dashboard!$C$3)*SIN(233*PI()*Dashboard!$C$3)</f>
        <v>1.9822872507287055</v>
      </c>
      <c r="C234">
        <f>SUM($B$2:B234)</f>
        <v>234.01836327753313</v>
      </c>
      <c r="E234">
        <f>2*SIN(233*PI()*Dashboard!$C$3)*SIN(233*PI()*Dashboard!$C$4)</f>
        <v>0</v>
      </c>
      <c r="F234">
        <f>SUM($E$2:E234)</f>
        <v>0</v>
      </c>
    </row>
    <row r="235" spans="1:6">
      <c r="A235">
        <v>234</v>
      </c>
      <c r="B235">
        <f>2*SIN(234*PI()*Dashboard!$C$3)*SIN(234*PI()*Dashboard!$C$3)</f>
        <v>7.0223514111785235E-2</v>
      </c>
      <c r="C235">
        <f>SUM($B$2:B235)</f>
        <v>234.0885867916449</v>
      </c>
      <c r="E235">
        <f>2*SIN(234*PI()*Dashboard!$C$3)*SIN(234*PI()*Dashboard!$C$4)</f>
        <v>0</v>
      </c>
      <c r="F235">
        <f>SUM($E$2:E235)</f>
        <v>0</v>
      </c>
    </row>
    <row r="236" spans="1:6">
      <c r="A236">
        <v>235</v>
      </c>
      <c r="B236">
        <f>2*SIN(235*PI()*Dashboard!$C$3)*SIN(235*PI()*Dashboard!$C$3)</f>
        <v>1.5877852522923834</v>
      </c>
      <c r="C236">
        <f>SUM($B$2:B236)</f>
        <v>235.67637204393728</v>
      </c>
      <c r="E236">
        <f>2*SIN(235*PI()*Dashboard!$C$3)*SIN(235*PI()*Dashboard!$C$4)</f>
        <v>0</v>
      </c>
      <c r="F236">
        <f>SUM($E$2:E236)</f>
        <v>0</v>
      </c>
    </row>
    <row r="237" spans="1:6">
      <c r="A237">
        <v>236</v>
      </c>
      <c r="B237">
        <f>2*SIN(236*PI()*Dashboard!$C$3)*SIN(236*PI()*Dashboard!$C$3)</f>
        <v>0.9372094804708081</v>
      </c>
      <c r="C237">
        <f>SUM($B$2:B237)</f>
        <v>236.61358152440809</v>
      </c>
      <c r="E237">
        <f>2*SIN(236*PI()*Dashboard!$C$3)*SIN(236*PI()*Dashboard!$C$4)</f>
        <v>0</v>
      </c>
      <c r="F237">
        <f>SUM($E$2:E237)</f>
        <v>0</v>
      </c>
    </row>
    <row r="238" spans="1:6">
      <c r="A238">
        <v>237</v>
      </c>
      <c r="B238">
        <f>2*SIN(237*PI()*Dashboard!$C$3)*SIN(237*PI()*Dashboard!$C$3)</f>
        <v>0.51824632589816833</v>
      </c>
      <c r="C238">
        <f>SUM($B$2:B238)</f>
        <v>237.13182785030625</v>
      </c>
      <c r="E238">
        <f>2*SIN(237*PI()*Dashboard!$C$3)*SIN(237*PI()*Dashboard!$C$4)</f>
        <v>0</v>
      </c>
      <c r="F238">
        <f>SUM($E$2:E238)</f>
        <v>0</v>
      </c>
    </row>
    <row r="239" spans="1:6">
      <c r="A239">
        <v>238</v>
      </c>
      <c r="B239">
        <f>2*SIN(238*PI()*Dashboard!$C$3)*SIN(238*PI()*Dashboard!$C$3)</f>
        <v>1.8763066800439332</v>
      </c>
      <c r="C239">
        <f>SUM($B$2:B239)</f>
        <v>239.00813453035019</v>
      </c>
      <c r="E239">
        <f>2*SIN(238*PI()*Dashboard!$C$3)*SIN(238*PI()*Dashboard!$C$4)</f>
        <v>0</v>
      </c>
      <c r="F239">
        <f>SUM($E$2:E239)</f>
        <v>0</v>
      </c>
    </row>
    <row r="240" spans="1:6">
      <c r="A240">
        <v>239</v>
      </c>
      <c r="B240">
        <f>2*SIN(239*PI()*Dashboard!$C$3)*SIN(239*PI()*Dashboard!$C$3)</f>
        <v>1.9732715717381772E-3</v>
      </c>
      <c r="C240">
        <f>SUM($B$2:B240)</f>
        <v>239.01010780192192</v>
      </c>
      <c r="E240">
        <f>2*SIN(239*PI()*Dashboard!$C$3)*SIN(239*PI()*Dashboard!$C$4)</f>
        <v>0</v>
      </c>
      <c r="F240">
        <f>SUM($E$2:E240)</f>
        <v>0</v>
      </c>
    </row>
    <row r="241" spans="1:6">
      <c r="A241">
        <v>240</v>
      </c>
      <c r="B241">
        <f>2*SIN(240*PI()*Dashboard!$C$3)*SIN(240*PI()*Dashboard!$C$3)</f>
        <v>1.8090169943749164</v>
      </c>
      <c r="C241">
        <f>SUM($B$2:B241)</f>
        <v>240.81912479629685</v>
      </c>
      <c r="E241">
        <f>2*SIN(240*PI()*Dashboard!$C$3)*SIN(240*PI()*Dashboard!$C$4)</f>
        <v>0</v>
      </c>
      <c r="F241">
        <f>SUM($E$2:E241)</f>
        <v>0</v>
      </c>
    </row>
    <row r="242" spans="1:6">
      <c r="A242">
        <v>241</v>
      </c>
      <c r="B242">
        <f>2*SIN(241*PI()*Dashboard!$C$3)*SIN(241*PI()*Dashboard!$C$3)</f>
        <v>0.63187544731538114</v>
      </c>
      <c r="C242">
        <f>SUM($B$2:B242)</f>
        <v>241.45100024361224</v>
      </c>
      <c r="E242">
        <f>2*SIN(241*PI()*Dashboard!$C$3)*SIN(241*PI()*Dashboard!$C$4)</f>
        <v>0</v>
      </c>
      <c r="F242">
        <f>SUM($E$2:E242)</f>
        <v>0</v>
      </c>
    </row>
    <row r="243" spans="1:6">
      <c r="A243">
        <v>242</v>
      </c>
      <c r="B243">
        <f>2*SIN(242*PI()*Dashboard!$C$3)*SIN(242*PI()*Dashboard!$C$3)</f>
        <v>0.8126186854142019</v>
      </c>
      <c r="C243">
        <f>SUM($B$2:B243)</f>
        <v>242.26361892902645</v>
      </c>
      <c r="E243">
        <f>2*SIN(242*PI()*Dashboard!$C$3)*SIN(242*PI()*Dashboard!$C$4)</f>
        <v>0</v>
      </c>
      <c r="F243">
        <f>SUM($E$2:E243)</f>
        <v>0</v>
      </c>
    </row>
    <row r="244" spans="1:6">
      <c r="A244">
        <v>243</v>
      </c>
      <c r="B244">
        <f>2*SIN(243*PI()*Dashboard!$C$3)*SIN(243*PI()*Dashboard!$C$3)</f>
        <v>1.6845471059287513</v>
      </c>
      <c r="C244">
        <f>SUM($B$2:B244)</f>
        <v>243.94816603495519</v>
      </c>
      <c r="E244">
        <f>2*SIN(243*PI()*Dashboard!$C$3)*SIN(243*PI()*Dashboard!$C$4)</f>
        <v>0</v>
      </c>
      <c r="F244">
        <f>SUM($E$2:E244)</f>
        <v>0</v>
      </c>
    </row>
    <row r="245" spans="1:6">
      <c r="A245">
        <v>244</v>
      </c>
      <c r="B245">
        <f>2*SIN(244*PI()*Dashboard!$C$3)*SIN(244*PI()*Dashboard!$C$3)</f>
        <v>3.1416838871344756E-2</v>
      </c>
      <c r="C245">
        <f>SUM($B$2:B245)</f>
        <v>243.97958287382653</v>
      </c>
      <c r="E245">
        <f>2*SIN(244*PI()*Dashboard!$C$3)*SIN(244*PI()*Dashboard!$C$4)</f>
        <v>0</v>
      </c>
      <c r="F245">
        <f>SUM($E$2:E245)</f>
        <v>0</v>
      </c>
    </row>
    <row r="246" spans="1:6">
      <c r="A246">
        <v>245</v>
      </c>
      <c r="B246">
        <f>2*SIN(245*PI()*Dashboard!$C$3)*SIN(245*PI()*Dashboard!$C$3)</f>
        <v>1.9510565162951199</v>
      </c>
      <c r="C246">
        <f>SUM($B$2:B246)</f>
        <v>245.93063939012166</v>
      </c>
      <c r="E246">
        <f>2*SIN(245*PI()*Dashboard!$C$3)*SIN(245*PI()*Dashboard!$C$4)</f>
        <v>0</v>
      </c>
      <c r="F246">
        <f>SUM($E$2:E246)</f>
        <v>0</v>
      </c>
    </row>
    <row r="247" spans="1:6">
      <c r="A247">
        <v>246</v>
      </c>
      <c r="B247">
        <f>2*SIN(246*PI()*Dashboard!$C$3)*SIN(246*PI()*Dashboard!$C$3)</f>
        <v>0.36257601025140213</v>
      </c>
      <c r="C247">
        <f>SUM($B$2:B247)</f>
        <v>246.29321540037304</v>
      </c>
      <c r="E247">
        <f>2*SIN(246*PI()*Dashboard!$C$3)*SIN(246*PI()*Dashboard!$C$4)</f>
        <v>0</v>
      </c>
      <c r="F247">
        <f>SUM($E$2:E247)</f>
        <v>0</v>
      </c>
    </row>
    <row r="248" spans="1:6">
      <c r="A248">
        <v>247</v>
      </c>
      <c r="B248">
        <f>2*SIN(247*PI()*Dashboard!$C$3)*SIN(247*PI()*Dashboard!$C$3)</f>
        <v>1.1253332335641748</v>
      </c>
      <c r="C248">
        <f>SUM($B$2:B248)</f>
        <v>247.41854863393721</v>
      </c>
      <c r="E248">
        <f>2*SIN(247*PI()*Dashboard!$C$3)*SIN(247*PI()*Dashboard!$C$4)</f>
        <v>0</v>
      </c>
      <c r="F248">
        <f>SUM($E$2:E248)</f>
        <v>0</v>
      </c>
    </row>
    <row r="249" spans="1:6">
      <c r="A249">
        <v>248</v>
      </c>
      <c r="B249">
        <f>2*SIN(248*PI()*Dashboard!$C$3)*SIN(248*PI()*Dashboard!$C$3)</f>
        <v>1.4257792915652006</v>
      </c>
      <c r="C249">
        <f>SUM($B$2:B249)</f>
        <v>248.8443279255024</v>
      </c>
      <c r="E249">
        <f>2*SIN(248*PI()*Dashboard!$C$3)*SIN(248*PI()*Dashboard!$C$4)</f>
        <v>0</v>
      </c>
      <c r="F249">
        <f>SUM($E$2:E249)</f>
        <v>0</v>
      </c>
    </row>
    <row r="250" spans="1:6">
      <c r="A250">
        <v>249</v>
      </c>
      <c r="B250">
        <f>2*SIN(249*PI()*Dashboard!$C$3)*SIN(249*PI()*Dashboard!$C$3)</f>
        <v>0.15567207449796408</v>
      </c>
      <c r="C250">
        <f>SUM($B$2:B250)</f>
        <v>249.00000000000037</v>
      </c>
      <c r="E250">
        <f>2*SIN(249*PI()*Dashboard!$C$3)*SIN(249*PI()*Dashboard!$C$4)</f>
        <v>0</v>
      </c>
      <c r="F250">
        <f>SUM($E$2:E250)</f>
        <v>0</v>
      </c>
    </row>
    <row r="251" spans="1:6">
      <c r="A251">
        <v>250</v>
      </c>
      <c r="B251">
        <f>2*SIN(250*PI()*Dashboard!$C$3)*SIN(250*PI()*Dashboard!$C$3)</f>
        <v>2</v>
      </c>
      <c r="C251">
        <f>SUM($B$2:B251)</f>
        <v>251.00000000000037</v>
      </c>
      <c r="E251">
        <f>2*SIN(250*PI()*Dashboard!$C$3)*SIN(250*PI()*Dashboard!$C$4)</f>
        <v>0</v>
      </c>
      <c r="F251">
        <f>SUM($E$2:E251)</f>
        <v>0</v>
      </c>
    </row>
    <row r="252" spans="1:6">
      <c r="A252">
        <v>251</v>
      </c>
      <c r="B252">
        <f>2*SIN(251*PI()*Dashboard!$C$3)*SIN(251*PI()*Dashboard!$C$3)</f>
        <v>0.15567207449801765</v>
      </c>
      <c r="C252">
        <f>SUM($B$2:B252)</f>
        <v>251.1556720744984</v>
      </c>
      <c r="E252">
        <f>2*SIN(251*PI()*Dashboard!$C$3)*SIN(251*PI()*Dashboard!$C$4)</f>
        <v>0</v>
      </c>
      <c r="F252">
        <f>SUM($E$2:E252)</f>
        <v>0</v>
      </c>
    </row>
    <row r="253" spans="1:6">
      <c r="A253">
        <v>252</v>
      </c>
      <c r="B253">
        <f>2*SIN(252*PI()*Dashboard!$C$3)*SIN(252*PI()*Dashboard!$C$3)</f>
        <v>1.4257792915650074</v>
      </c>
      <c r="C253">
        <f>SUM($B$2:B253)</f>
        <v>252.58145136606342</v>
      </c>
      <c r="E253">
        <f>2*SIN(252*PI()*Dashboard!$C$3)*SIN(252*PI()*Dashboard!$C$4)</f>
        <v>0</v>
      </c>
      <c r="F253">
        <f>SUM($E$2:E253)</f>
        <v>0</v>
      </c>
    </row>
    <row r="254" spans="1:6">
      <c r="A254">
        <v>253</v>
      </c>
      <c r="B254">
        <f>2*SIN(253*PI()*Dashboard!$C$3)*SIN(253*PI()*Dashboard!$C$3)</f>
        <v>1.1253332335643871</v>
      </c>
      <c r="C254">
        <f>SUM($B$2:B254)</f>
        <v>253.70678459962781</v>
      </c>
      <c r="E254">
        <f>2*SIN(253*PI()*Dashboard!$C$3)*SIN(253*PI()*Dashboard!$C$4)</f>
        <v>0</v>
      </c>
      <c r="F254">
        <f>SUM($E$2:E254)</f>
        <v>0</v>
      </c>
    </row>
    <row r="255" spans="1:6">
      <c r="A255">
        <v>254</v>
      </c>
      <c r="B255">
        <f>2*SIN(254*PI()*Dashboard!$C$3)*SIN(254*PI()*Dashboard!$C$3)</f>
        <v>0.36257601025123753</v>
      </c>
      <c r="C255">
        <f>SUM($B$2:B255)</f>
        <v>254.06936060987906</v>
      </c>
      <c r="E255">
        <f>2*SIN(254*PI()*Dashboard!$C$3)*SIN(254*PI()*Dashboard!$C$4)</f>
        <v>0</v>
      </c>
      <c r="F255">
        <f>SUM($E$2:E255)</f>
        <v>0</v>
      </c>
    </row>
    <row r="256" spans="1:6">
      <c r="A256">
        <v>255</v>
      </c>
      <c r="B256">
        <f>2*SIN(255*PI()*Dashboard!$C$3)*SIN(255*PI()*Dashboard!$C$3)</f>
        <v>1.9510565162951863</v>
      </c>
      <c r="C256">
        <f>SUM($B$2:B256)</f>
        <v>256.02041712617427</v>
      </c>
      <c r="E256">
        <f>2*SIN(255*PI()*Dashboard!$C$3)*SIN(255*PI()*Dashboard!$C$4)</f>
        <v>0</v>
      </c>
      <c r="F256">
        <f>SUM($E$2:E256)</f>
        <v>0</v>
      </c>
    </row>
    <row r="257" spans="1:6">
      <c r="A257">
        <v>256</v>
      </c>
      <c r="B257">
        <f>2*SIN(256*PI()*Dashboard!$C$3)*SIN(256*PI()*Dashboard!$C$3)</f>
        <v>3.1416838871397901E-2</v>
      </c>
      <c r="C257">
        <f>SUM($B$2:B257)</f>
        <v>256.05183396504566</v>
      </c>
      <c r="E257">
        <f>2*SIN(256*PI()*Dashboard!$C$3)*SIN(256*PI()*Dashboard!$C$4)</f>
        <v>0</v>
      </c>
      <c r="F257">
        <f>SUM($E$2:E257)</f>
        <v>0</v>
      </c>
    </row>
    <row r="258" spans="1:6">
      <c r="A258">
        <v>257</v>
      </c>
      <c r="B258">
        <f>2*SIN(257*PI()*Dashboard!$C$3)*SIN(257*PI()*Dashboard!$C$3)</f>
        <v>1.6845471059285952</v>
      </c>
      <c r="C258">
        <f>SUM($B$2:B258)</f>
        <v>257.73638107097423</v>
      </c>
      <c r="E258">
        <f>2*SIN(257*PI()*Dashboard!$C$3)*SIN(257*PI()*Dashboard!$C$4)</f>
        <v>0</v>
      </c>
      <c r="F258">
        <f>SUM($E$2:E258)</f>
        <v>0</v>
      </c>
    </row>
    <row r="259" spans="1:6">
      <c r="A259">
        <v>258</v>
      </c>
      <c r="B259">
        <f>2*SIN(258*PI()*Dashboard!$C$3)*SIN(258*PI()*Dashboard!$C$3)</f>
        <v>0.81261868541441185</v>
      </c>
      <c r="C259">
        <f>SUM($B$2:B259)</f>
        <v>258.54899975638864</v>
      </c>
      <c r="E259">
        <f>2*SIN(258*PI()*Dashboard!$C$3)*SIN(258*PI()*Dashboard!$C$4)</f>
        <v>0</v>
      </c>
      <c r="F259">
        <f>SUM($E$2:E259)</f>
        <v>0</v>
      </c>
    </row>
    <row r="260" spans="1:6">
      <c r="A260">
        <v>259</v>
      </c>
      <c r="B260">
        <f>2*SIN(259*PI()*Dashboard!$C$3)*SIN(259*PI()*Dashboard!$C$3)</f>
        <v>0.63187544731528833</v>
      </c>
      <c r="C260">
        <f>SUM($B$2:B260)</f>
        <v>259.18087520370392</v>
      </c>
      <c r="E260">
        <f>2*SIN(259*PI()*Dashboard!$C$3)*SIN(259*PI()*Dashboard!$C$4)</f>
        <v>0</v>
      </c>
      <c r="F260">
        <f>SUM($E$2:E260)</f>
        <v>0</v>
      </c>
    </row>
    <row r="261" spans="1:6">
      <c r="A261">
        <v>260</v>
      </c>
      <c r="B261">
        <f>2*SIN(260*PI()*Dashboard!$C$3)*SIN(260*PI()*Dashboard!$C$3)</f>
        <v>1.8090169943749752</v>
      </c>
      <c r="C261">
        <f>SUM($B$2:B261)</f>
        <v>260.98989219807891</v>
      </c>
      <c r="E261">
        <f>2*SIN(260*PI()*Dashboard!$C$3)*SIN(260*PI()*Dashboard!$C$4)</f>
        <v>0</v>
      </c>
      <c r="F261">
        <f>SUM($E$2:E261)</f>
        <v>0</v>
      </c>
    </row>
    <row r="262" spans="1:6">
      <c r="A262">
        <v>261</v>
      </c>
      <c r="B262">
        <f>2*SIN(261*PI()*Dashboard!$C$3)*SIN(261*PI()*Dashboard!$C$3)</f>
        <v>1.9732715717247612E-3</v>
      </c>
      <c r="C262">
        <f>SUM($B$2:B262)</f>
        <v>260.99186546965063</v>
      </c>
      <c r="E262">
        <f>2*SIN(261*PI()*Dashboard!$C$3)*SIN(261*PI()*Dashboard!$C$4)</f>
        <v>0</v>
      </c>
      <c r="F262">
        <f>SUM($E$2:E262)</f>
        <v>0</v>
      </c>
    </row>
    <row r="263" spans="1:6">
      <c r="A263">
        <v>262</v>
      </c>
      <c r="B263">
        <f>2*SIN(262*PI()*Dashboard!$C$3)*SIN(262*PI()*Dashboard!$C$3)</f>
        <v>1.8763066800438299</v>
      </c>
      <c r="C263">
        <f>SUM($B$2:B263)</f>
        <v>262.86817214969449</v>
      </c>
      <c r="E263">
        <f>2*SIN(262*PI()*Dashboard!$C$3)*SIN(262*PI()*Dashboard!$C$4)</f>
        <v>0</v>
      </c>
      <c r="F263">
        <f>SUM($E$2:E263)</f>
        <v>0</v>
      </c>
    </row>
    <row r="264" spans="1:6">
      <c r="A264">
        <v>263</v>
      </c>
      <c r="B264">
        <f>2*SIN(263*PI()*Dashboard!$C$3)*SIN(263*PI()*Dashboard!$C$3)</f>
        <v>0.51824632589835551</v>
      </c>
      <c r="C264">
        <f>SUM($B$2:B264)</f>
        <v>263.38641847559285</v>
      </c>
      <c r="E264">
        <f>2*SIN(263*PI()*Dashboard!$C$3)*SIN(263*PI()*Dashboard!$C$4)</f>
        <v>0</v>
      </c>
      <c r="F264">
        <f>SUM($E$2:E264)</f>
        <v>0</v>
      </c>
    </row>
    <row r="265" spans="1:6">
      <c r="A265">
        <v>264</v>
      </c>
      <c r="B265">
        <f>2*SIN(264*PI()*Dashboard!$C$3)*SIN(264*PI()*Dashboard!$C$3)</f>
        <v>0.93720948047059494</v>
      </c>
      <c r="C265">
        <f>SUM($B$2:B265)</f>
        <v>264.32362795606343</v>
      </c>
      <c r="E265">
        <f>2*SIN(264*PI()*Dashboard!$C$3)*SIN(264*PI()*Dashboard!$C$4)</f>
        <v>0</v>
      </c>
      <c r="F265">
        <f>SUM($E$2:E265)</f>
        <v>0</v>
      </c>
    </row>
    <row r="266" spans="1:6">
      <c r="A266">
        <v>265</v>
      </c>
      <c r="B266">
        <f>2*SIN(265*PI()*Dashboard!$C$3)*SIN(265*PI()*Dashboard!$C$3)</f>
        <v>1.5877852522925564</v>
      </c>
      <c r="C266">
        <f>SUM($B$2:B266)</f>
        <v>265.91141320835601</v>
      </c>
      <c r="E266">
        <f>2*SIN(265*PI()*Dashboard!$C$3)*SIN(265*PI()*Dashboard!$C$4)</f>
        <v>0</v>
      </c>
      <c r="F266">
        <f>SUM($E$2:E266)</f>
        <v>0</v>
      </c>
    </row>
    <row r="267" spans="1:6">
      <c r="A267">
        <v>266</v>
      </c>
      <c r="B267">
        <f>2*SIN(266*PI()*Dashboard!$C$3)*SIN(266*PI()*Dashboard!$C$3)</f>
        <v>7.0223514111706589E-2</v>
      </c>
      <c r="C267">
        <f>SUM($B$2:B267)</f>
        <v>265.98163672246773</v>
      </c>
      <c r="E267">
        <f>2*SIN(266*PI()*Dashboard!$C$3)*SIN(266*PI()*Dashboard!$C$4)</f>
        <v>0</v>
      </c>
      <c r="F267">
        <f>SUM($E$2:E267)</f>
        <v>0</v>
      </c>
    </row>
    <row r="268" spans="1:6">
      <c r="A268">
        <v>267</v>
      </c>
      <c r="B268">
        <f>2*SIN(267*PI()*Dashboard!$C$3)*SIN(267*PI()*Dashboard!$C$3)</f>
        <v>1.9822872507286651</v>
      </c>
      <c r="C268">
        <f>SUM($B$2:B268)</f>
        <v>267.96392397319642</v>
      </c>
      <c r="E268">
        <f>2*SIN(267*PI()*Dashboard!$C$3)*SIN(267*PI()*Dashboard!$C$4)</f>
        <v>0</v>
      </c>
      <c r="F268">
        <f>SUM($E$2:E268)</f>
        <v>0</v>
      </c>
    </row>
    <row r="269" spans="1:6">
      <c r="A269">
        <v>268</v>
      </c>
      <c r="B269">
        <f>2*SIN(268*PI()*Dashboard!$C$3)*SIN(268*PI()*Dashboard!$C$3)</f>
        <v>0.27103137257868187</v>
      </c>
      <c r="C269">
        <f>SUM($B$2:B269)</f>
        <v>268.23495534577512</v>
      </c>
      <c r="E269">
        <f>2*SIN(268*PI()*Dashboard!$C$3)*SIN(268*PI()*Dashboard!$C$4)</f>
        <v>0</v>
      </c>
      <c r="F269">
        <f>SUM($E$2:E269)</f>
        <v>0</v>
      </c>
    </row>
    <row r="270" spans="1:6">
      <c r="A270">
        <v>269</v>
      </c>
      <c r="B270">
        <f>2*SIN(269*PI()*Dashboard!$C$3)*SIN(269*PI()*Dashboard!$C$3)</f>
        <v>1.248689887164822</v>
      </c>
      <c r="C270">
        <f>SUM($B$2:B270)</f>
        <v>269.48364523293992</v>
      </c>
      <c r="E270">
        <f>2*SIN(269*PI()*Dashboard!$C$3)*SIN(269*PI()*Dashboard!$C$4)</f>
        <v>0</v>
      </c>
      <c r="F270">
        <f>SUM($E$2:E270)</f>
        <v>0</v>
      </c>
    </row>
    <row r="271" spans="1:6">
      <c r="A271">
        <v>270</v>
      </c>
      <c r="B271">
        <f>2*SIN(270*PI()*Dashboard!$C$3)*SIN(270*PI()*Dashboard!$C$3)</f>
        <v>1.3090169943749903</v>
      </c>
      <c r="C271">
        <f>SUM($B$2:B271)</f>
        <v>270.79266222731491</v>
      </c>
      <c r="E271">
        <f>2*SIN(270*PI()*Dashboard!$C$3)*SIN(270*PI()*Dashboard!$C$4)</f>
        <v>0</v>
      </c>
      <c r="F271">
        <f>SUM($E$2:E271)</f>
        <v>0</v>
      </c>
    </row>
    <row r="272" spans="1:6">
      <c r="A272">
        <v>271</v>
      </c>
      <c r="B272">
        <f>2*SIN(271*PI()*Dashboard!$C$3)*SIN(271*PI()*Dashboard!$C$3)</f>
        <v>0.22948675722417511</v>
      </c>
      <c r="C272">
        <f>SUM($B$2:B272)</f>
        <v>271.02214898453906</v>
      </c>
      <c r="E272">
        <f>2*SIN(271*PI()*Dashboard!$C$3)*SIN(271*PI()*Dashboard!$C$4)</f>
        <v>0</v>
      </c>
      <c r="F272">
        <f>SUM($E$2:E272)</f>
        <v>0</v>
      </c>
    </row>
    <row r="273" spans="1:6">
      <c r="A273">
        <v>272</v>
      </c>
      <c r="B273">
        <f>2*SIN(272*PI()*Dashboard!$C$3)*SIN(272*PI()*Dashboard!$C$3)</f>
        <v>1.9921147013144862</v>
      </c>
      <c r="C273">
        <f>SUM($B$2:B273)</f>
        <v>273.01426368585356</v>
      </c>
      <c r="E273">
        <f>2*SIN(272*PI()*Dashboard!$C$3)*SIN(272*PI()*Dashboard!$C$4)</f>
        <v>0</v>
      </c>
      <c r="F273">
        <f>SUM($E$2:E273)</f>
        <v>0</v>
      </c>
    </row>
    <row r="274" spans="1:6">
      <c r="A274">
        <v>273</v>
      </c>
      <c r="B274">
        <f>2*SIN(273*PI()*Dashboard!$C$3)*SIN(273*PI()*Dashboard!$C$3)</f>
        <v>9.5172947534013785E-2</v>
      </c>
      <c r="C274">
        <f>SUM($B$2:B274)</f>
        <v>273.10943663338759</v>
      </c>
      <c r="E274">
        <f>2*SIN(273*PI()*Dashboard!$C$3)*SIN(273*PI()*Dashboard!$C$4)</f>
        <v>0</v>
      </c>
      <c r="F274">
        <f>SUM($E$2:E274)</f>
        <v>0</v>
      </c>
    </row>
    <row r="275" spans="1:6">
      <c r="A275">
        <v>274</v>
      </c>
      <c r="B275">
        <f>2*SIN(274*PI()*Dashboard!$C$3)*SIN(274*PI()*Dashboard!$C$3)</f>
        <v>1.5358267949789211</v>
      </c>
      <c r="C275">
        <f>SUM($B$2:B275)</f>
        <v>274.64526342836649</v>
      </c>
      <c r="E275">
        <f>2*SIN(274*PI()*Dashboard!$C$3)*SIN(274*PI()*Dashboard!$C$4)</f>
        <v>0</v>
      </c>
      <c r="F275">
        <f>SUM($E$2:E275)</f>
        <v>0</v>
      </c>
    </row>
    <row r="276" spans="1:6">
      <c r="A276">
        <v>275</v>
      </c>
      <c r="B276">
        <f>2*SIN(275*PI()*Dashboard!$C$3)*SIN(275*PI()*Dashboard!$C$3)</f>
        <v>1.0000000000001004</v>
      </c>
      <c r="C276">
        <f>SUM($B$2:B276)</f>
        <v>275.6452634283666</v>
      </c>
      <c r="E276">
        <f>2*SIN(275*PI()*Dashboard!$C$3)*SIN(275*PI()*Dashboard!$C$4)</f>
        <v>0</v>
      </c>
      <c r="F276">
        <f>SUM($E$2:E276)</f>
        <v>0</v>
      </c>
    </row>
    <row r="277" spans="1:6">
      <c r="A277">
        <v>276</v>
      </c>
      <c r="B277">
        <f>2*SIN(276*PI()*Dashboard!$C$3)*SIN(276*PI()*Dashboard!$C$3)</f>
        <v>0.46417320502090914</v>
      </c>
      <c r="C277">
        <f>SUM($B$2:B277)</f>
        <v>276.10943663338753</v>
      </c>
      <c r="E277">
        <f>2*SIN(276*PI()*Dashboard!$C$3)*SIN(276*PI()*Dashboard!$C$4)</f>
        <v>0</v>
      </c>
      <c r="F277">
        <f>SUM($E$2:E277)</f>
        <v>0</v>
      </c>
    </row>
    <row r="278" spans="1:6">
      <c r="A278">
        <v>277</v>
      </c>
      <c r="B278">
        <f>2*SIN(277*PI()*Dashboard!$C$3)*SIN(277*PI()*Dashboard!$C$3)</f>
        <v>1.9048270524660718</v>
      </c>
      <c r="C278">
        <f>SUM($B$2:B278)</f>
        <v>278.01426368585362</v>
      </c>
      <c r="E278">
        <f>2*SIN(277*PI()*Dashboard!$C$3)*SIN(277*PI()*Dashboard!$C$4)</f>
        <v>0</v>
      </c>
      <c r="F278">
        <f>SUM($E$2:E278)</f>
        <v>0</v>
      </c>
    </row>
    <row r="279" spans="1:6">
      <c r="A279">
        <v>278</v>
      </c>
      <c r="B279">
        <f>2*SIN(278*PI()*Dashboard!$C$3)*SIN(278*PI()*Dashboard!$C$3)</f>
        <v>7.885298685524688E-3</v>
      </c>
      <c r="C279">
        <f>SUM($B$2:B279)</f>
        <v>278.02214898453917</v>
      </c>
      <c r="E279">
        <f>2*SIN(278*PI()*Dashboard!$C$3)*SIN(278*PI()*Dashboard!$C$4)</f>
        <v>0</v>
      </c>
      <c r="F279">
        <f>SUM($E$2:E279)</f>
        <v>0</v>
      </c>
    </row>
    <row r="280" spans="1:6">
      <c r="A280">
        <v>279</v>
      </c>
      <c r="B280">
        <f>2*SIN(279*PI()*Dashboard!$C$3)*SIN(279*PI()*Dashboard!$C$3)</f>
        <v>1.7705132427757695</v>
      </c>
      <c r="C280">
        <f>SUM($B$2:B280)</f>
        <v>279.79266222731496</v>
      </c>
      <c r="E280">
        <f>2*SIN(279*PI()*Dashboard!$C$3)*SIN(279*PI()*Dashboard!$C$4)</f>
        <v>0</v>
      </c>
      <c r="F280">
        <f>SUM($E$2:E280)</f>
        <v>0</v>
      </c>
    </row>
    <row r="281" spans="1:6">
      <c r="A281">
        <v>280</v>
      </c>
      <c r="B281">
        <f>2*SIN(280*PI()*Dashboard!$C$3)*SIN(280*PI()*Dashboard!$C$3)</f>
        <v>0.69098300562509274</v>
      </c>
      <c r="C281">
        <f>SUM($B$2:B281)</f>
        <v>280.48364523294003</v>
      </c>
      <c r="E281">
        <f>2*SIN(280*PI()*Dashboard!$C$3)*SIN(280*PI()*Dashboard!$C$4)</f>
        <v>0</v>
      </c>
      <c r="F281">
        <f>SUM($E$2:E281)</f>
        <v>0</v>
      </c>
    </row>
    <row r="282" spans="1:6">
      <c r="A282">
        <v>281</v>
      </c>
      <c r="B282">
        <f>2*SIN(281*PI()*Dashboard!$C$3)*SIN(281*PI()*Dashboard!$C$3)</f>
        <v>0.75131011283509352</v>
      </c>
      <c r="C282">
        <f>SUM($B$2:B282)</f>
        <v>281.23495534577512</v>
      </c>
      <c r="E282">
        <f>2*SIN(281*PI()*Dashboard!$C$3)*SIN(281*PI()*Dashboard!$C$4)</f>
        <v>0</v>
      </c>
      <c r="F282">
        <f>SUM($E$2:E282)</f>
        <v>0</v>
      </c>
    </row>
    <row r="283" spans="1:6">
      <c r="A283">
        <v>282</v>
      </c>
      <c r="B283">
        <f>2*SIN(282*PI()*Dashboard!$C$3)*SIN(282*PI()*Dashboard!$C$3)</f>
        <v>1.728968627421456</v>
      </c>
      <c r="C283">
        <f>SUM($B$2:B283)</f>
        <v>282.96392397319659</v>
      </c>
      <c r="E283">
        <f>2*SIN(282*PI()*Dashboard!$C$3)*SIN(282*PI()*Dashboard!$C$4)</f>
        <v>0</v>
      </c>
      <c r="F283">
        <f>SUM($E$2:E283)</f>
        <v>0</v>
      </c>
    </row>
    <row r="284" spans="1:6">
      <c r="A284">
        <v>283</v>
      </c>
      <c r="B284">
        <f>2*SIN(283*PI()*Dashboard!$C$3)*SIN(283*PI()*Dashboard!$C$3)</f>
        <v>1.7712749271297137E-2</v>
      </c>
      <c r="C284">
        <f>SUM($B$2:B284)</f>
        <v>282.9816367224679</v>
      </c>
      <c r="E284">
        <f>2*SIN(283*PI()*Dashboard!$C$3)*SIN(283*PI()*Dashboard!$C$4)</f>
        <v>0</v>
      </c>
      <c r="F284">
        <f>SUM($E$2:E284)</f>
        <v>0</v>
      </c>
    </row>
    <row r="285" spans="1:6">
      <c r="A285">
        <v>284</v>
      </c>
      <c r="B285">
        <f>2*SIN(284*PI()*Dashboard!$C$3)*SIN(284*PI()*Dashboard!$C$3)</f>
        <v>1.9297764858882194</v>
      </c>
      <c r="C285">
        <f>SUM($B$2:B285)</f>
        <v>284.91141320835612</v>
      </c>
      <c r="E285">
        <f>2*SIN(284*PI()*Dashboard!$C$3)*SIN(284*PI()*Dashboard!$C$4)</f>
        <v>0</v>
      </c>
      <c r="F285">
        <f>SUM($E$2:E285)</f>
        <v>0</v>
      </c>
    </row>
    <row r="286" spans="1:6">
      <c r="A286">
        <v>285</v>
      </c>
      <c r="B286">
        <f>2*SIN(285*PI()*Dashboard!$C$3)*SIN(285*PI()*Dashboard!$C$3)</f>
        <v>0.41221474770760613</v>
      </c>
      <c r="C286">
        <f>SUM($B$2:B286)</f>
        <v>285.32362795606372</v>
      </c>
      <c r="E286">
        <f>2*SIN(285*PI()*Dashboard!$C$3)*SIN(285*PI()*Dashboard!$C$4)</f>
        <v>0</v>
      </c>
      <c r="F286">
        <f>SUM($E$2:E286)</f>
        <v>0</v>
      </c>
    </row>
    <row r="287" spans="1:6">
      <c r="A287">
        <v>286</v>
      </c>
      <c r="B287">
        <f>2*SIN(286*PI()*Dashboard!$C$3)*SIN(286*PI()*Dashboard!$C$3)</f>
        <v>1.0627905195292047</v>
      </c>
      <c r="C287">
        <f>SUM($B$2:B287)</f>
        <v>286.3864184755929</v>
      </c>
      <c r="E287">
        <f>2*SIN(286*PI()*Dashboard!$C$3)*SIN(286*PI()*Dashboard!$C$4)</f>
        <v>0</v>
      </c>
      <c r="F287">
        <f>SUM($E$2:E287)</f>
        <v>0</v>
      </c>
    </row>
    <row r="288" spans="1:6">
      <c r="A288">
        <v>287</v>
      </c>
      <c r="B288">
        <f>2*SIN(287*PI()*Dashboard!$C$3)*SIN(287*PI()*Dashboard!$C$3)</f>
        <v>1.4817536741018205</v>
      </c>
      <c r="C288">
        <f>SUM($B$2:B288)</f>
        <v>287.86817214969471</v>
      </c>
      <c r="E288">
        <f>2*SIN(287*PI()*Dashboard!$C$3)*SIN(287*PI()*Dashboard!$C$4)</f>
        <v>0</v>
      </c>
      <c r="F288">
        <f>SUM($E$2:E288)</f>
        <v>0</v>
      </c>
    </row>
    <row r="289" spans="1:6">
      <c r="A289">
        <v>288</v>
      </c>
      <c r="B289">
        <f>2*SIN(288*PI()*Dashboard!$C$3)*SIN(288*PI()*Dashboard!$C$3)</f>
        <v>0.12369331995612794</v>
      </c>
      <c r="C289">
        <f>SUM($B$2:B289)</f>
        <v>287.99186546965086</v>
      </c>
      <c r="E289">
        <f>2*SIN(288*PI()*Dashboard!$C$3)*SIN(288*PI()*Dashboard!$C$4)</f>
        <v>0</v>
      </c>
      <c r="F289">
        <f>SUM($E$2:E289)</f>
        <v>0</v>
      </c>
    </row>
    <row r="290" spans="1:6">
      <c r="A290">
        <v>289</v>
      </c>
      <c r="B290">
        <f>2*SIN(289*PI()*Dashboard!$C$3)*SIN(289*PI()*Dashboard!$C$3)</f>
        <v>1.99802672842827</v>
      </c>
      <c r="C290">
        <f>SUM($B$2:B290)</f>
        <v>289.98989219807913</v>
      </c>
      <c r="E290">
        <f>2*SIN(289*PI()*Dashboard!$C$3)*SIN(289*PI()*Dashboard!$C$4)</f>
        <v>0</v>
      </c>
      <c r="F290">
        <f>SUM($E$2:E290)</f>
        <v>0</v>
      </c>
    </row>
    <row r="291" spans="1:6">
      <c r="A291">
        <v>290</v>
      </c>
      <c r="B291">
        <f>2*SIN(290*PI()*Dashboard!$C$3)*SIN(290*PI()*Dashboard!$C$3)</f>
        <v>0.19098300562507595</v>
      </c>
      <c r="C291">
        <f>SUM($B$2:B291)</f>
        <v>290.1808752037042</v>
      </c>
      <c r="E291">
        <f>2*SIN(290*PI()*Dashboard!$C$3)*SIN(290*PI()*Dashboard!$C$4)</f>
        <v>0</v>
      </c>
      <c r="F291">
        <f>SUM($E$2:E291)</f>
        <v>0</v>
      </c>
    </row>
    <row r="292" spans="1:6">
      <c r="A292">
        <v>291</v>
      </c>
      <c r="B292">
        <f>2*SIN(291*PI()*Dashboard!$C$3)*SIN(291*PI()*Dashboard!$C$3)</f>
        <v>1.3681245526846306</v>
      </c>
      <c r="C292">
        <f>SUM($B$2:B292)</f>
        <v>291.54899975638881</v>
      </c>
      <c r="E292">
        <f>2*SIN(291*PI()*Dashboard!$C$3)*SIN(291*PI()*Dashboard!$C$4)</f>
        <v>0</v>
      </c>
      <c r="F292">
        <f>SUM($E$2:E292)</f>
        <v>0</v>
      </c>
    </row>
    <row r="293" spans="1:6">
      <c r="A293">
        <v>292</v>
      </c>
      <c r="B293">
        <f>2*SIN(292*PI()*Dashboard!$C$3)*SIN(292*PI()*Dashboard!$C$3)</f>
        <v>1.1873813145857857</v>
      </c>
      <c r="C293">
        <f>SUM($B$2:B293)</f>
        <v>292.73638107097457</v>
      </c>
      <c r="E293">
        <f>2*SIN(292*PI()*Dashboard!$C$3)*SIN(292*PI()*Dashboard!$C$4)</f>
        <v>0</v>
      </c>
      <c r="F293">
        <f>SUM($E$2:E293)</f>
        <v>0</v>
      </c>
    </row>
    <row r="294" spans="1:6">
      <c r="A294">
        <v>293</v>
      </c>
      <c r="B294">
        <f>2*SIN(293*PI()*Dashboard!$C$3)*SIN(293*PI()*Dashboard!$C$3)</f>
        <v>0.31545289407125798</v>
      </c>
      <c r="C294">
        <f>SUM($B$2:B294)</f>
        <v>293.05183396504583</v>
      </c>
      <c r="E294">
        <f>2*SIN(293*PI()*Dashboard!$C$3)*SIN(293*PI()*Dashboard!$C$4)</f>
        <v>0</v>
      </c>
      <c r="F294">
        <f>SUM($E$2:E294)</f>
        <v>0</v>
      </c>
    </row>
    <row r="295" spans="1:6">
      <c r="A295">
        <v>294</v>
      </c>
      <c r="B295">
        <f>2*SIN(294*PI()*Dashboard!$C$3)*SIN(294*PI()*Dashboard!$C$3)</f>
        <v>1.9685831611286519</v>
      </c>
      <c r="C295">
        <f>SUM($B$2:B295)</f>
        <v>295.02041712617449</v>
      </c>
      <c r="E295">
        <f>2*SIN(294*PI()*Dashboard!$C$3)*SIN(294*PI()*Dashboard!$C$4)</f>
        <v>0</v>
      </c>
      <c r="F295">
        <f>SUM($E$2:E295)</f>
        <v>0</v>
      </c>
    </row>
    <row r="296" spans="1:6">
      <c r="A296">
        <v>295</v>
      </c>
      <c r="B296">
        <f>2*SIN(295*PI()*Dashboard!$C$3)*SIN(295*PI()*Dashboard!$C$3)</f>
        <v>4.8943483704875904E-2</v>
      </c>
      <c r="C296">
        <f>SUM($B$2:B296)</f>
        <v>295.06936060987937</v>
      </c>
      <c r="E296">
        <f>2*SIN(295*PI()*Dashboard!$C$3)*SIN(295*PI()*Dashboard!$C$4)</f>
        <v>0</v>
      </c>
      <c r="F296">
        <f>SUM($E$2:E296)</f>
        <v>0</v>
      </c>
    </row>
    <row r="297" spans="1:6">
      <c r="A297">
        <v>296</v>
      </c>
      <c r="B297">
        <f>2*SIN(296*PI()*Dashboard!$C$3)*SIN(296*PI()*Dashboard!$C$3)</f>
        <v>1.6374239897486076</v>
      </c>
      <c r="C297">
        <f>SUM($B$2:B297)</f>
        <v>296.70678459962795</v>
      </c>
      <c r="E297">
        <f>2*SIN(296*PI()*Dashboard!$C$3)*SIN(296*PI()*Dashboard!$C$4)</f>
        <v>0</v>
      </c>
      <c r="F297">
        <f>SUM($E$2:E297)</f>
        <v>0</v>
      </c>
    </row>
    <row r="298" spans="1:6">
      <c r="A298">
        <v>297</v>
      </c>
      <c r="B298">
        <f>2*SIN(297*PI()*Dashboard!$C$3)*SIN(297*PI()*Dashboard!$C$3)</f>
        <v>0.87466676643581254</v>
      </c>
      <c r="C298">
        <f>SUM($B$2:B298)</f>
        <v>297.58145136606379</v>
      </c>
      <c r="E298">
        <f>2*SIN(297*PI()*Dashboard!$C$3)*SIN(297*PI()*Dashboard!$C$4)</f>
        <v>0</v>
      </c>
      <c r="F298">
        <f>SUM($E$2:E298)</f>
        <v>0</v>
      </c>
    </row>
    <row r="299" spans="1:6">
      <c r="A299">
        <v>298</v>
      </c>
      <c r="B299">
        <f>2*SIN(298*PI()*Dashboard!$C$3)*SIN(298*PI()*Dashboard!$C$3)</f>
        <v>0.57422070843491391</v>
      </c>
      <c r="C299">
        <f>SUM($B$2:B299)</f>
        <v>298.15567207449868</v>
      </c>
      <c r="E299">
        <f>2*SIN(298*PI()*Dashboard!$C$3)*SIN(298*PI()*Dashboard!$C$4)</f>
        <v>0</v>
      </c>
      <c r="F299">
        <f>SUM($E$2:E299)</f>
        <v>0</v>
      </c>
    </row>
    <row r="300" spans="1:6">
      <c r="A300">
        <v>299</v>
      </c>
      <c r="B300">
        <f>2*SIN(299*PI()*Dashboard!$C$3)*SIN(299*PI()*Dashboard!$C$3)</f>
        <v>1.8443279255020291</v>
      </c>
      <c r="C300">
        <f>SUM($B$2:B300)</f>
        <v>300.00000000000074</v>
      </c>
      <c r="E300">
        <f>2*SIN(299*PI()*Dashboard!$C$3)*SIN(299*PI()*Dashboard!$C$4)</f>
        <v>0</v>
      </c>
      <c r="F300">
        <f>SUM($E$2:E300)</f>
        <v>0</v>
      </c>
    </row>
    <row r="301" spans="1:6">
      <c r="A301">
        <v>300</v>
      </c>
      <c r="B301">
        <f>2*SIN(300*PI()*Dashboard!$C$3)*SIN(300*PI()*Dashboard!$C$3)</f>
        <v>6.9356072325320923E-28</v>
      </c>
      <c r="C301">
        <f>SUM($B$2:B301)</f>
        <v>300.00000000000074</v>
      </c>
      <c r="E301">
        <f>2*SIN(300*PI()*Dashboard!$C$3)*SIN(300*PI()*Dashboard!$C$4)</f>
        <v>0</v>
      </c>
      <c r="F301">
        <f>SUM($E$2:E301)</f>
        <v>0</v>
      </c>
    </row>
    <row r="302" spans="1:6">
      <c r="A302">
        <v>301</v>
      </c>
      <c r="B302">
        <f>2*SIN(301*PI()*Dashboard!$C$3)*SIN(301*PI()*Dashboard!$C$3)</f>
        <v>1.8443279255019891</v>
      </c>
      <c r="C302">
        <f>SUM($B$2:B302)</f>
        <v>301.84432792550274</v>
      </c>
      <c r="E302">
        <f>2*SIN(301*PI()*Dashboard!$C$3)*SIN(301*PI()*Dashboard!$C$4)</f>
        <v>0</v>
      </c>
      <c r="F302">
        <f>SUM($E$2:E302)</f>
        <v>0</v>
      </c>
    </row>
    <row r="303" spans="1:6">
      <c r="A303">
        <v>302</v>
      </c>
      <c r="B303">
        <f>2*SIN(302*PI()*Dashboard!$C$3)*SIN(302*PI()*Dashboard!$C$3)</f>
        <v>0.57422070843498119</v>
      </c>
      <c r="C303">
        <f>SUM($B$2:B303)</f>
        <v>302.41854863393775</v>
      </c>
      <c r="E303">
        <f>2*SIN(302*PI()*Dashboard!$C$3)*SIN(302*PI()*Dashboard!$C$4)</f>
        <v>0</v>
      </c>
      <c r="F303">
        <f>SUM($E$2:E303)</f>
        <v>0</v>
      </c>
    </row>
    <row r="304" spans="1:6">
      <c r="A304">
        <v>303</v>
      </c>
      <c r="B304">
        <f>2*SIN(303*PI()*Dashboard!$C$3)*SIN(303*PI()*Dashboard!$C$3)</f>
        <v>0.87466676643562569</v>
      </c>
      <c r="C304">
        <f>SUM($B$2:B304)</f>
        <v>303.29321540037336</v>
      </c>
      <c r="E304">
        <f>2*SIN(303*PI()*Dashboard!$C$3)*SIN(303*PI()*Dashboard!$C$4)</f>
        <v>0</v>
      </c>
      <c r="F304">
        <f>SUM($E$2:E304)</f>
        <v>0</v>
      </c>
    </row>
    <row r="305" spans="1:6">
      <c r="A305">
        <v>304</v>
      </c>
      <c r="B305">
        <f>2*SIN(304*PI()*Dashboard!$C$3)*SIN(304*PI()*Dashboard!$C$3)</f>
        <v>1.6374239897487526</v>
      </c>
      <c r="C305">
        <f>SUM($B$2:B305)</f>
        <v>304.93063939012211</v>
      </c>
      <c r="E305">
        <f>2*SIN(304*PI()*Dashboard!$C$3)*SIN(304*PI()*Dashboard!$C$4)</f>
        <v>0</v>
      </c>
      <c r="F305">
        <f>SUM($E$2:E305)</f>
        <v>0</v>
      </c>
    </row>
    <row r="306" spans="1:6">
      <c r="A306">
        <v>305</v>
      </c>
      <c r="B306">
        <f>2*SIN(305*PI()*Dashboard!$C$3)*SIN(305*PI()*Dashboard!$C$3)</f>
        <v>4.8943483704817756E-2</v>
      </c>
      <c r="C306">
        <f>SUM($B$2:B306)</f>
        <v>304.97958287382693</v>
      </c>
      <c r="E306">
        <f>2*SIN(305*PI()*Dashboard!$C$3)*SIN(305*PI()*Dashboard!$C$4)</f>
        <v>0</v>
      </c>
      <c r="F306">
        <f>SUM($E$2:E306)</f>
        <v>0</v>
      </c>
    </row>
    <row r="307" spans="1:6">
      <c r="A307">
        <v>306</v>
      </c>
      <c r="B307">
        <f>2*SIN(306*PI()*Dashboard!$C$3)*SIN(306*PI()*Dashboard!$C$3)</f>
        <v>1.9685831611286053</v>
      </c>
      <c r="C307">
        <f>SUM($B$2:B307)</f>
        <v>306.94816603495553</v>
      </c>
      <c r="E307">
        <f>2*SIN(306*PI()*Dashboard!$C$3)*SIN(306*PI()*Dashboard!$C$4)</f>
        <v>0</v>
      </c>
      <c r="F307">
        <f>SUM($E$2:E307)</f>
        <v>0</v>
      </c>
    </row>
    <row r="308" spans="1:6">
      <c r="A308">
        <v>307</v>
      </c>
      <c r="B308">
        <f>2*SIN(307*PI()*Dashboard!$C$3)*SIN(307*PI()*Dashboard!$C$3)</f>
        <v>0.31545289407131233</v>
      </c>
      <c r="C308">
        <f>SUM($B$2:B308)</f>
        <v>307.26361892902685</v>
      </c>
      <c r="E308">
        <f>2*SIN(307*PI()*Dashboard!$C$3)*SIN(307*PI()*Dashboard!$C$4)</f>
        <v>0</v>
      </c>
      <c r="F308">
        <f>SUM($E$2:E308)</f>
        <v>0</v>
      </c>
    </row>
    <row r="309" spans="1:6">
      <c r="A309">
        <v>308</v>
      </c>
      <c r="B309">
        <f>2*SIN(308*PI()*Dashboard!$C$3)*SIN(308*PI()*Dashboard!$C$3)</f>
        <v>1.1873813145857124</v>
      </c>
      <c r="C309">
        <f>SUM($B$2:B309)</f>
        <v>308.45100024361255</v>
      </c>
      <c r="E309">
        <f>2*SIN(308*PI()*Dashboard!$C$3)*SIN(308*PI()*Dashboard!$C$4)</f>
        <v>0</v>
      </c>
      <c r="F309">
        <f>SUM($E$2:E309)</f>
        <v>0</v>
      </c>
    </row>
    <row r="310" spans="1:6">
      <c r="A310">
        <v>309</v>
      </c>
      <c r="B310">
        <f>2*SIN(309*PI()*Dashboard!$C$3)*SIN(309*PI()*Dashboard!$C$3)</f>
        <v>1.3681245526847001</v>
      </c>
      <c r="C310">
        <f>SUM($B$2:B310)</f>
        <v>309.81912479629727</v>
      </c>
      <c r="E310">
        <f>2*SIN(309*PI()*Dashboard!$C$3)*SIN(309*PI()*Dashboard!$C$4)</f>
        <v>0</v>
      </c>
      <c r="F310">
        <f>SUM($E$2:E310)</f>
        <v>0</v>
      </c>
    </row>
    <row r="311" spans="1:6">
      <c r="A311">
        <v>310</v>
      </c>
      <c r="B311">
        <f>2*SIN(310*PI()*Dashboard!$C$3)*SIN(310*PI()*Dashboard!$C$3)</f>
        <v>0.19098300562503215</v>
      </c>
      <c r="C311">
        <f>SUM($B$2:B311)</f>
        <v>310.01010780192229</v>
      </c>
      <c r="E311">
        <f>2*SIN(310*PI()*Dashboard!$C$3)*SIN(310*PI()*Dashboard!$C$4)</f>
        <v>0</v>
      </c>
      <c r="F311">
        <f>SUM($E$2:E311)</f>
        <v>0</v>
      </c>
    </row>
    <row r="312" spans="1:6">
      <c r="A312">
        <v>311</v>
      </c>
      <c r="B312">
        <f>2*SIN(311*PI()*Dashboard!$C$3)*SIN(311*PI()*Dashboard!$C$3)</f>
        <v>1.9980267284282744</v>
      </c>
      <c r="C312">
        <f>SUM($B$2:B312)</f>
        <v>312.00813453035056</v>
      </c>
      <c r="E312">
        <f>2*SIN(311*PI()*Dashboard!$C$3)*SIN(311*PI()*Dashboard!$C$4)</f>
        <v>0</v>
      </c>
      <c r="F312">
        <f>SUM($E$2:E312)</f>
        <v>0</v>
      </c>
    </row>
    <row r="313" spans="1:6">
      <c r="A313">
        <v>312</v>
      </c>
      <c r="B313">
        <f>2*SIN(312*PI()*Dashboard!$C$3)*SIN(312*PI()*Dashboard!$C$3)</f>
        <v>0.12369331995616384</v>
      </c>
      <c r="C313">
        <f>SUM($B$2:B313)</f>
        <v>312.13182785030671</v>
      </c>
      <c r="E313">
        <f>2*SIN(312*PI()*Dashboard!$C$3)*SIN(312*PI()*Dashboard!$C$4)</f>
        <v>0</v>
      </c>
      <c r="F313">
        <f>SUM($E$2:E313)</f>
        <v>0</v>
      </c>
    </row>
    <row r="314" spans="1:6">
      <c r="A314">
        <v>313</v>
      </c>
      <c r="B314">
        <f>2*SIN(313*PI()*Dashboard!$C$3)*SIN(313*PI()*Dashboard!$C$3)</f>
        <v>1.4817536741016557</v>
      </c>
      <c r="C314">
        <f>SUM($B$2:B314)</f>
        <v>313.61358152440835</v>
      </c>
      <c r="E314">
        <f>2*SIN(313*PI()*Dashboard!$C$3)*SIN(313*PI()*Dashboard!$C$4)</f>
        <v>0</v>
      </c>
      <c r="F314">
        <f>SUM($E$2:E314)</f>
        <v>0</v>
      </c>
    </row>
    <row r="315" spans="1:6">
      <c r="A315">
        <v>314</v>
      </c>
      <c r="B315">
        <f>2*SIN(314*PI()*Dashboard!$C$3)*SIN(314*PI()*Dashboard!$C$3)</f>
        <v>1.0627905195293925</v>
      </c>
      <c r="C315">
        <f>SUM($B$2:B315)</f>
        <v>314.67637204393776</v>
      </c>
      <c r="E315">
        <f>2*SIN(314*PI()*Dashboard!$C$3)*SIN(314*PI()*Dashboard!$C$4)</f>
        <v>0</v>
      </c>
      <c r="F315">
        <f>SUM($E$2:E315)</f>
        <v>0</v>
      </c>
    </row>
    <row r="316" spans="1:6">
      <c r="A316">
        <v>315</v>
      </c>
      <c r="B316">
        <f>2*SIN(315*PI()*Dashboard!$C$3)*SIN(315*PI()*Dashboard!$C$3)</f>
        <v>0.41221474770745381</v>
      </c>
      <c r="C316">
        <f>SUM($B$2:B316)</f>
        <v>315.08858679164524</v>
      </c>
      <c r="E316">
        <f>2*SIN(315*PI()*Dashboard!$C$3)*SIN(315*PI()*Dashboard!$C$4)</f>
        <v>0</v>
      </c>
      <c r="F316">
        <f>SUM($E$2:E316)</f>
        <v>0</v>
      </c>
    </row>
    <row r="317" spans="1:6">
      <c r="A317">
        <v>316</v>
      </c>
      <c r="B317">
        <f>2*SIN(316*PI()*Dashboard!$C$3)*SIN(316*PI()*Dashboard!$C$3)</f>
        <v>1.9297764858882887</v>
      </c>
      <c r="C317">
        <f>SUM($B$2:B317)</f>
        <v>317.01836327753352</v>
      </c>
      <c r="E317">
        <f>2*SIN(316*PI()*Dashboard!$C$3)*SIN(316*PI()*Dashboard!$C$4)</f>
        <v>0</v>
      </c>
      <c r="F317">
        <f>SUM($E$2:E317)</f>
        <v>0</v>
      </c>
    </row>
    <row r="318" spans="1:6">
      <c r="A318">
        <v>317</v>
      </c>
      <c r="B318">
        <f>2*SIN(317*PI()*Dashboard!$C$3)*SIN(317*PI()*Dashboard!$C$3)</f>
        <v>1.7712749271311098E-2</v>
      </c>
      <c r="C318">
        <f>SUM($B$2:B318)</f>
        <v>317.03607602680484</v>
      </c>
      <c r="E318">
        <f>2*SIN(317*PI()*Dashboard!$C$3)*SIN(317*PI()*Dashboard!$C$4)</f>
        <v>0</v>
      </c>
      <c r="F318">
        <f>SUM($E$2:E318)</f>
        <v>0</v>
      </c>
    </row>
    <row r="319" spans="1:6">
      <c r="A319">
        <v>318</v>
      </c>
      <c r="B319">
        <f>2*SIN(318*PI()*Dashboard!$C$3)*SIN(318*PI()*Dashboard!$C$3)</f>
        <v>1.7289686274214047</v>
      </c>
      <c r="C319">
        <f>SUM($B$2:B319)</f>
        <v>318.76504465422624</v>
      </c>
      <c r="E319">
        <f>2*SIN(318*PI()*Dashboard!$C$3)*SIN(318*PI()*Dashboard!$C$4)</f>
        <v>0</v>
      </c>
      <c r="F319">
        <f>SUM($E$2:E319)</f>
        <v>0</v>
      </c>
    </row>
    <row r="320" spans="1:6">
      <c r="A320">
        <v>319</v>
      </c>
      <c r="B320">
        <f>2*SIN(319*PI()*Dashboard!$C$3)*SIN(319*PI()*Dashboard!$C$3)</f>
        <v>0.75131011283516558</v>
      </c>
      <c r="C320">
        <f>SUM($B$2:B320)</f>
        <v>319.51635476706139</v>
      </c>
      <c r="E320">
        <f>2*SIN(319*PI()*Dashboard!$C$3)*SIN(319*PI()*Dashboard!$C$4)</f>
        <v>0</v>
      </c>
      <c r="F320">
        <f>SUM($E$2:E320)</f>
        <v>0</v>
      </c>
    </row>
    <row r="321" spans="1:6">
      <c r="A321">
        <v>320</v>
      </c>
      <c r="B321">
        <f>2*SIN(320*PI()*Dashboard!$C$3)*SIN(320*PI()*Dashboard!$C$3)</f>
        <v>0.69098300562502202</v>
      </c>
      <c r="C321">
        <f>SUM($B$2:B321)</f>
        <v>320.2073377726864</v>
      </c>
      <c r="E321">
        <f>2*SIN(320*PI()*Dashboard!$C$3)*SIN(320*PI()*Dashboard!$C$4)</f>
        <v>0</v>
      </c>
      <c r="F321">
        <f>SUM($E$2:E321)</f>
        <v>0</v>
      </c>
    </row>
    <row r="322" spans="1:6">
      <c r="A322">
        <v>321</v>
      </c>
      <c r="B322">
        <f>2*SIN(321*PI()*Dashboard!$C$3)*SIN(321*PI()*Dashboard!$C$3)</f>
        <v>1.7705132427758168</v>
      </c>
      <c r="C322">
        <f>SUM($B$2:B322)</f>
        <v>321.97785101546219</v>
      </c>
      <c r="E322">
        <f>2*SIN(321*PI()*Dashboard!$C$3)*SIN(321*PI()*Dashboard!$C$4)</f>
        <v>0</v>
      </c>
      <c r="F322">
        <f>SUM($E$2:E322)</f>
        <v>0</v>
      </c>
    </row>
    <row r="323" spans="1:6">
      <c r="A323">
        <v>322</v>
      </c>
      <c r="B323">
        <f>2*SIN(322*PI()*Dashboard!$C$3)*SIN(322*PI()*Dashboard!$C$3)</f>
        <v>7.8852986855153535E-3</v>
      </c>
      <c r="C323">
        <f>SUM($B$2:B323)</f>
        <v>321.98573631414769</v>
      </c>
      <c r="E323">
        <f>2*SIN(322*PI()*Dashboard!$C$3)*SIN(322*PI()*Dashboard!$C$4)</f>
        <v>0</v>
      </c>
      <c r="F323">
        <f>SUM($E$2:E323)</f>
        <v>0</v>
      </c>
    </row>
    <row r="324" spans="1:6">
      <c r="A324">
        <v>323</v>
      </c>
      <c r="B324">
        <f>2*SIN(323*PI()*Dashboard!$C$3)*SIN(323*PI()*Dashboard!$C$3)</f>
        <v>1.9048270524659916</v>
      </c>
      <c r="C324">
        <f>SUM($B$2:B324)</f>
        <v>323.89056336661366</v>
      </c>
      <c r="E324">
        <f>2*SIN(323*PI()*Dashboard!$C$3)*SIN(323*PI()*Dashboard!$C$4)</f>
        <v>0</v>
      </c>
      <c r="F324">
        <f>SUM($E$2:E324)</f>
        <v>0</v>
      </c>
    </row>
    <row r="325" spans="1:6">
      <c r="A325">
        <v>324</v>
      </c>
      <c r="B325">
        <f>2*SIN(324*PI()*Dashboard!$C$3)*SIN(324*PI()*Dashboard!$C$3)</f>
        <v>0.46417320502106807</v>
      </c>
      <c r="C325">
        <f>SUM($B$2:B325)</f>
        <v>324.3547365716347</v>
      </c>
      <c r="E325">
        <f>2*SIN(324*PI()*Dashboard!$C$3)*SIN(324*PI()*Dashboard!$C$4)</f>
        <v>0</v>
      </c>
      <c r="F325">
        <f>SUM($E$2:E325)</f>
        <v>0</v>
      </c>
    </row>
    <row r="326" spans="1:6">
      <c r="A326">
        <v>325</v>
      </c>
      <c r="B326">
        <f>2*SIN(325*PI()*Dashboard!$C$3)*SIN(325*PI()*Dashboard!$C$3)</f>
        <v>0.99999999999991218</v>
      </c>
      <c r="C326">
        <f>SUM($B$2:B326)</f>
        <v>325.35473657163459</v>
      </c>
      <c r="E326">
        <f>2*SIN(325*PI()*Dashboard!$C$3)*SIN(325*PI()*Dashboard!$C$4)</f>
        <v>0</v>
      </c>
      <c r="F326">
        <f>SUM($E$2:E326)</f>
        <v>0</v>
      </c>
    </row>
    <row r="327" spans="1:6">
      <c r="A327">
        <v>326</v>
      </c>
      <c r="B327">
        <f>2*SIN(326*PI()*Dashboard!$C$3)*SIN(326*PI()*Dashboard!$C$3)</f>
        <v>1.5358267949790798</v>
      </c>
      <c r="C327">
        <f>SUM($B$2:B327)</f>
        <v>326.89056336661366</v>
      </c>
      <c r="E327">
        <f>2*SIN(326*PI()*Dashboard!$C$3)*SIN(326*PI()*Dashboard!$C$4)</f>
        <v>0</v>
      </c>
      <c r="F327">
        <f>SUM($E$2:E327)</f>
        <v>0</v>
      </c>
    </row>
    <row r="328" spans="1:6">
      <c r="A328">
        <v>327</v>
      </c>
      <c r="B328">
        <f>2*SIN(327*PI()*Dashboard!$C$3)*SIN(327*PI()*Dashboard!$C$3)</f>
        <v>9.5172947533982061E-2</v>
      </c>
      <c r="C328">
        <f>SUM($B$2:B328)</f>
        <v>326.98573631414763</v>
      </c>
      <c r="E328">
        <f>2*SIN(327*PI()*Dashboard!$C$3)*SIN(327*PI()*Dashboard!$C$4)</f>
        <v>0</v>
      </c>
      <c r="F328">
        <f>SUM($E$2:E328)</f>
        <v>0</v>
      </c>
    </row>
    <row r="329" spans="1:6">
      <c r="A329">
        <v>328</v>
      </c>
      <c r="B329">
        <f>2*SIN(328*PI()*Dashboard!$C$3)*SIN(328*PI()*Dashboard!$C$3)</f>
        <v>1.9921147013144627</v>
      </c>
      <c r="C329">
        <f>SUM($B$2:B329)</f>
        <v>328.97785101546208</v>
      </c>
      <c r="E329">
        <f>2*SIN(328*PI()*Dashboard!$C$3)*SIN(328*PI()*Dashboard!$C$4)</f>
        <v>0</v>
      </c>
      <c r="F329">
        <f>SUM($E$2:E329)</f>
        <v>0</v>
      </c>
    </row>
    <row r="330" spans="1:6">
      <c r="A330">
        <v>329</v>
      </c>
      <c r="B330">
        <f>2*SIN(329*PI()*Dashboard!$C$3)*SIN(329*PI()*Dashboard!$C$3)</f>
        <v>0.22948675722422257</v>
      </c>
      <c r="C330">
        <f>SUM($B$2:B330)</f>
        <v>329.20733777268629</v>
      </c>
      <c r="E330">
        <f>2*SIN(329*PI()*Dashboard!$C$3)*SIN(329*PI()*Dashboard!$C$4)</f>
        <v>0</v>
      </c>
      <c r="F330">
        <f>SUM($E$2:E330)</f>
        <v>0</v>
      </c>
    </row>
    <row r="331" spans="1:6">
      <c r="A331">
        <v>330</v>
      </c>
      <c r="B331">
        <f>2*SIN(330*PI()*Dashboard!$C$3)*SIN(330*PI()*Dashboard!$C$3)</f>
        <v>1.3090169943748109</v>
      </c>
      <c r="C331">
        <f>SUM($B$2:B331)</f>
        <v>330.5163547670611</v>
      </c>
      <c r="E331">
        <f>2*SIN(330*PI()*Dashboard!$C$3)*SIN(330*PI()*Dashboard!$C$4)</f>
        <v>0</v>
      </c>
      <c r="F331">
        <f>SUM($E$2:E331)</f>
        <v>0</v>
      </c>
    </row>
    <row r="332" spans="1:6">
      <c r="A332">
        <v>331</v>
      </c>
      <c r="B332">
        <f>2*SIN(331*PI()*Dashboard!$C$3)*SIN(331*PI()*Dashboard!$C$3)</f>
        <v>1.2486898871648942</v>
      </c>
      <c r="C332">
        <f>SUM($B$2:B332)</f>
        <v>331.76504465422602</v>
      </c>
      <c r="E332">
        <f>2*SIN(331*PI()*Dashboard!$C$3)*SIN(331*PI()*Dashboard!$C$4)</f>
        <v>0</v>
      </c>
      <c r="F332">
        <f>SUM($E$2:E332)</f>
        <v>0</v>
      </c>
    </row>
    <row r="333" spans="1:6">
      <c r="A333">
        <v>332</v>
      </c>
      <c r="B333">
        <f>2*SIN(332*PI()*Dashboard!$C$3)*SIN(332*PI()*Dashboard!$C$3)</f>
        <v>0.27103137257855303</v>
      </c>
      <c r="C333">
        <f>SUM($B$2:B333)</f>
        <v>332.03607602680455</v>
      </c>
      <c r="E333">
        <f>2*SIN(332*PI()*Dashboard!$C$3)*SIN(332*PI()*Dashboard!$C$4)</f>
        <v>0</v>
      </c>
      <c r="F333">
        <f>SUM($E$2:E333)</f>
        <v>0</v>
      </c>
    </row>
    <row r="334" spans="1:6">
      <c r="A334">
        <v>333</v>
      </c>
      <c r="B334">
        <f>2*SIN(333*PI()*Dashboard!$C$3)*SIN(333*PI()*Dashboard!$C$3)</f>
        <v>1.9822872507287006</v>
      </c>
      <c r="C334">
        <f>SUM($B$2:B334)</f>
        <v>334.01836327753324</v>
      </c>
      <c r="E334">
        <f>2*SIN(333*PI()*Dashboard!$C$3)*SIN(333*PI()*Dashboard!$C$4)</f>
        <v>0</v>
      </c>
      <c r="F334">
        <f>SUM($E$2:E334)</f>
        <v>0</v>
      </c>
    </row>
    <row r="335" spans="1:6">
      <c r="A335">
        <v>334</v>
      </c>
      <c r="B335">
        <f>2*SIN(334*PI()*Dashboard!$C$3)*SIN(334*PI()*Dashboard!$C$3)</f>
        <v>7.0223514111775853E-2</v>
      </c>
      <c r="C335">
        <f>SUM($B$2:B335)</f>
        <v>334.08858679164501</v>
      </c>
      <c r="E335">
        <f>2*SIN(334*PI()*Dashboard!$C$3)*SIN(334*PI()*Dashboard!$C$4)</f>
        <v>0</v>
      </c>
      <c r="F335">
        <f>SUM($E$2:E335)</f>
        <v>0</v>
      </c>
    </row>
    <row r="336" spans="1:6">
      <c r="A336">
        <v>335</v>
      </c>
      <c r="B336">
        <f>2*SIN(335*PI()*Dashboard!$C$3)*SIN(335*PI()*Dashboard!$C$3)</f>
        <v>1.5877852522924043</v>
      </c>
      <c r="C336">
        <f>SUM($B$2:B336)</f>
        <v>335.67637204393742</v>
      </c>
      <c r="E336">
        <f>2*SIN(335*PI()*Dashboard!$C$3)*SIN(335*PI()*Dashboard!$C$4)</f>
        <v>0</v>
      </c>
      <c r="F336">
        <f>SUM($E$2:E336)</f>
        <v>0</v>
      </c>
    </row>
    <row r="337" spans="1:6">
      <c r="A337">
        <v>336</v>
      </c>
      <c r="B337">
        <f>2*SIN(336*PI()*Dashboard!$C$3)*SIN(336*PI()*Dashboard!$C$3)</f>
        <v>0.9372094804706691</v>
      </c>
      <c r="C337">
        <f>SUM($B$2:B337)</f>
        <v>336.61358152440806</v>
      </c>
      <c r="E337">
        <f>2*SIN(336*PI()*Dashboard!$C$3)*SIN(336*PI()*Dashboard!$C$4)</f>
        <v>0</v>
      </c>
      <c r="F337">
        <f>SUM($E$2:E337)</f>
        <v>0</v>
      </c>
    </row>
    <row r="338" spans="1:6">
      <c r="A338">
        <v>337</v>
      </c>
      <c r="B338">
        <f>2*SIN(337*PI()*Dashboard!$C$3)*SIN(337*PI()*Dashboard!$C$3)</f>
        <v>0.51824632589819075</v>
      </c>
      <c r="C338">
        <f>SUM($B$2:B338)</f>
        <v>337.13182785030625</v>
      </c>
      <c r="E338">
        <f>2*SIN(337*PI()*Dashboard!$C$3)*SIN(337*PI()*Dashboard!$C$4)</f>
        <v>0</v>
      </c>
      <c r="F338">
        <f>SUM($E$2:E338)</f>
        <v>0</v>
      </c>
    </row>
    <row r="339" spans="1:6">
      <c r="A339">
        <v>338</v>
      </c>
      <c r="B339">
        <f>2*SIN(338*PI()*Dashboard!$C$3)*SIN(338*PI()*Dashboard!$C$3)</f>
        <v>1.8763066800438659</v>
      </c>
      <c r="C339">
        <f>SUM($B$2:B339)</f>
        <v>339.00813453035011</v>
      </c>
      <c r="E339">
        <f>2*SIN(338*PI()*Dashboard!$C$3)*SIN(338*PI()*Dashboard!$C$4)</f>
        <v>0</v>
      </c>
      <c r="F339">
        <f>SUM($E$2:E339)</f>
        <v>0</v>
      </c>
    </row>
    <row r="340" spans="1:6">
      <c r="A340">
        <v>339</v>
      </c>
      <c r="B340">
        <f>2*SIN(339*PI()*Dashboard!$C$3)*SIN(339*PI()*Dashboard!$C$3)</f>
        <v>1.9732715717365773E-3</v>
      </c>
      <c r="C340">
        <f>SUM($B$2:B340)</f>
        <v>339.01010780192183</v>
      </c>
      <c r="E340">
        <f>2*SIN(339*PI()*Dashboard!$C$3)*SIN(339*PI()*Dashboard!$C$4)</f>
        <v>0</v>
      </c>
      <c r="F340">
        <f>SUM($E$2:E340)</f>
        <v>0</v>
      </c>
    </row>
    <row r="341" spans="1:6">
      <c r="A341">
        <v>340</v>
      </c>
      <c r="B341">
        <f>2*SIN(340*PI()*Dashboard!$C$3)*SIN(340*PI()*Dashboard!$C$3)</f>
        <v>1.8090169943749317</v>
      </c>
      <c r="C341">
        <f>SUM($B$2:B341)</f>
        <v>340.81912479629676</v>
      </c>
      <c r="E341">
        <f>2*SIN(340*PI()*Dashboard!$C$3)*SIN(340*PI()*Dashboard!$C$4)</f>
        <v>0</v>
      </c>
      <c r="F341">
        <f>SUM($E$2:E341)</f>
        <v>0</v>
      </c>
    </row>
    <row r="342" spans="1:6">
      <c r="A342">
        <v>341</v>
      </c>
      <c r="B342">
        <f>2*SIN(341*PI()*Dashboard!$C$3)*SIN(341*PI()*Dashboard!$C$3)</f>
        <v>0.6318754473154633</v>
      </c>
      <c r="C342">
        <f>SUM($B$2:B342)</f>
        <v>341.45100024361221</v>
      </c>
      <c r="E342">
        <f>2*SIN(341*PI()*Dashboard!$C$3)*SIN(341*PI()*Dashboard!$C$4)</f>
        <v>0</v>
      </c>
      <c r="F342">
        <f>SUM($E$2:E342)</f>
        <v>0</v>
      </c>
    </row>
    <row r="343" spans="1:6">
      <c r="A343">
        <v>342</v>
      </c>
      <c r="B343">
        <f>2*SIN(342*PI()*Dashboard!$C$3)*SIN(342*PI()*Dashboard!$C$3)</f>
        <v>0.8126186854142271</v>
      </c>
      <c r="C343">
        <f>SUM($B$2:B343)</f>
        <v>342.26361892902645</v>
      </c>
      <c r="E343">
        <f>2*SIN(342*PI()*Dashboard!$C$3)*SIN(342*PI()*Dashboard!$C$4)</f>
        <v>0</v>
      </c>
      <c r="F343">
        <f>SUM($E$2:E343)</f>
        <v>0</v>
      </c>
    </row>
    <row r="344" spans="1:6">
      <c r="A344">
        <v>343</v>
      </c>
      <c r="B344">
        <f>2*SIN(343*PI()*Dashboard!$C$3)*SIN(343*PI()*Dashboard!$C$3)</f>
        <v>1.6845471059287327</v>
      </c>
      <c r="C344">
        <f>SUM($B$2:B344)</f>
        <v>343.94816603495519</v>
      </c>
      <c r="E344">
        <f>2*SIN(343*PI()*Dashboard!$C$3)*SIN(343*PI()*Dashboard!$C$4)</f>
        <v>0</v>
      </c>
      <c r="F344">
        <f>SUM($E$2:E344)</f>
        <v>0</v>
      </c>
    </row>
    <row r="345" spans="1:6">
      <c r="A345">
        <v>344</v>
      </c>
      <c r="B345">
        <f>2*SIN(344*PI()*Dashboard!$C$3)*SIN(344*PI()*Dashboard!$C$3)</f>
        <v>3.1416838871351105E-2</v>
      </c>
      <c r="C345">
        <f>SUM($B$2:B345)</f>
        <v>343.97958287382653</v>
      </c>
      <c r="E345">
        <f>2*SIN(344*PI()*Dashboard!$C$3)*SIN(344*PI()*Dashboard!$C$4)</f>
        <v>0</v>
      </c>
      <c r="F345">
        <f>SUM($E$2:E345)</f>
        <v>0</v>
      </c>
    </row>
    <row r="346" spans="1:6">
      <c r="A346">
        <v>345</v>
      </c>
      <c r="B346">
        <f>2*SIN(345*PI()*Dashboard!$C$3)*SIN(345*PI()*Dashboard!$C$3)</f>
        <v>1.9510565162951279</v>
      </c>
      <c r="C346">
        <f>SUM($B$2:B346)</f>
        <v>345.93063939012166</v>
      </c>
      <c r="E346">
        <f>2*SIN(345*PI()*Dashboard!$C$3)*SIN(345*PI()*Dashboard!$C$4)</f>
        <v>0</v>
      </c>
      <c r="F346">
        <f>SUM($E$2:E346)</f>
        <v>0</v>
      </c>
    </row>
    <row r="347" spans="1:6">
      <c r="A347">
        <v>346</v>
      </c>
      <c r="B347">
        <f>2*SIN(346*PI()*Dashboard!$C$3)*SIN(346*PI()*Dashboard!$C$3)</f>
        <v>0.36257601025138253</v>
      </c>
      <c r="C347">
        <f>SUM($B$2:B347)</f>
        <v>346.29321540037301</v>
      </c>
      <c r="E347">
        <f>2*SIN(346*PI()*Dashboard!$C$3)*SIN(346*PI()*Dashboard!$C$4)</f>
        <v>0</v>
      </c>
      <c r="F347">
        <f>SUM($E$2:E347)</f>
        <v>0</v>
      </c>
    </row>
    <row r="348" spans="1:6">
      <c r="A348">
        <v>347</v>
      </c>
      <c r="B348">
        <f>2*SIN(347*PI()*Dashboard!$C$3)*SIN(347*PI()*Dashboard!$C$3)</f>
        <v>1.1253332335643131</v>
      </c>
      <c r="C348">
        <f>SUM($B$2:B348)</f>
        <v>347.41854863393735</v>
      </c>
      <c r="E348">
        <f>2*SIN(347*PI()*Dashboard!$C$3)*SIN(347*PI()*Dashboard!$C$4)</f>
        <v>0</v>
      </c>
      <c r="F348">
        <f>SUM($E$2:E348)</f>
        <v>0</v>
      </c>
    </row>
    <row r="349" spans="1:6">
      <c r="A349">
        <v>348</v>
      </c>
      <c r="B349">
        <f>2*SIN(348*PI()*Dashboard!$C$3)*SIN(348*PI()*Dashboard!$C$3)</f>
        <v>1.4257792915651777</v>
      </c>
      <c r="C349">
        <f>SUM($B$2:B349)</f>
        <v>348.84432792550251</v>
      </c>
      <c r="E349">
        <f>2*SIN(348*PI()*Dashboard!$C$3)*SIN(348*PI()*Dashboard!$C$4)</f>
        <v>0</v>
      </c>
      <c r="F349">
        <f>SUM($E$2:E349)</f>
        <v>0</v>
      </c>
    </row>
    <row r="350" spans="1:6">
      <c r="A350">
        <v>349</v>
      </c>
      <c r="B350">
        <f>2*SIN(349*PI()*Dashboard!$C$3)*SIN(349*PI()*Dashboard!$C$3)</f>
        <v>0.15567207449797776</v>
      </c>
      <c r="C350">
        <f>SUM($B$2:B350)</f>
        <v>349.00000000000051</v>
      </c>
      <c r="E350">
        <f>2*SIN(349*PI()*Dashboard!$C$3)*SIN(349*PI()*Dashboard!$C$4)</f>
        <v>0</v>
      </c>
      <c r="F350">
        <f>SUM($E$2:E350)</f>
        <v>0</v>
      </c>
    </row>
    <row r="351" spans="1:6">
      <c r="A351">
        <v>350</v>
      </c>
      <c r="B351">
        <f>2*SIN(350*PI()*Dashboard!$C$3)*SIN(350*PI()*Dashboard!$C$3)</f>
        <v>2</v>
      </c>
      <c r="C351">
        <f>SUM($B$2:B351)</f>
        <v>351.00000000000051</v>
      </c>
      <c r="E351">
        <f>2*SIN(350*PI()*Dashboard!$C$3)*SIN(350*PI()*Dashboard!$C$4)</f>
        <v>0</v>
      </c>
      <c r="F351">
        <f>SUM($E$2:E351)</f>
        <v>0</v>
      </c>
    </row>
    <row r="352" spans="1:6">
      <c r="A352">
        <v>351</v>
      </c>
      <c r="B352">
        <f>2*SIN(351*PI()*Dashboard!$C$3)*SIN(351*PI()*Dashboard!$C$3)</f>
        <v>0.15567207449800402</v>
      </c>
      <c r="C352">
        <f>SUM($B$2:B352)</f>
        <v>351.15567207449851</v>
      </c>
      <c r="E352">
        <f>2*SIN(351*PI()*Dashboard!$C$3)*SIN(351*PI()*Dashboard!$C$4)</f>
        <v>0</v>
      </c>
      <c r="F352">
        <f>SUM($E$2:E352)</f>
        <v>0</v>
      </c>
    </row>
    <row r="353" spans="1:6">
      <c r="A353">
        <v>352</v>
      </c>
      <c r="B353">
        <f>2*SIN(352*PI()*Dashboard!$C$3)*SIN(352*PI()*Dashboard!$C$3)</f>
        <v>1.4257792915649274</v>
      </c>
      <c r="C353">
        <f>SUM($B$2:B353)</f>
        <v>352.58145136606345</v>
      </c>
      <c r="E353">
        <f>2*SIN(352*PI()*Dashboard!$C$3)*SIN(352*PI()*Dashboard!$C$4)</f>
        <v>0</v>
      </c>
      <c r="F353">
        <f>SUM($E$2:E353)</f>
        <v>0</v>
      </c>
    </row>
    <row r="354" spans="1:6">
      <c r="A354">
        <v>353</v>
      </c>
      <c r="B354">
        <f>2*SIN(353*PI()*Dashboard!$C$3)*SIN(353*PI()*Dashboard!$C$3)</f>
        <v>1.1253332335643618</v>
      </c>
      <c r="C354">
        <f>SUM($B$2:B354)</f>
        <v>353.70678459962778</v>
      </c>
      <c r="E354">
        <f>2*SIN(353*PI()*Dashboard!$C$3)*SIN(353*PI()*Dashboard!$C$4)</f>
        <v>0</v>
      </c>
      <c r="F354">
        <f>SUM($E$2:E354)</f>
        <v>0</v>
      </c>
    </row>
    <row r="355" spans="1:6">
      <c r="A355">
        <v>354</v>
      </c>
      <c r="B355">
        <f>2*SIN(354*PI()*Dashboard!$C$3)*SIN(354*PI()*Dashboard!$C$3)</f>
        <v>0.36257601025125719</v>
      </c>
      <c r="C355">
        <f>SUM($B$2:B355)</f>
        <v>354.06936060987903</v>
      </c>
      <c r="E355">
        <f>2*SIN(354*PI()*Dashboard!$C$3)*SIN(354*PI()*Dashboard!$C$4)</f>
        <v>0</v>
      </c>
      <c r="F355">
        <f>SUM($E$2:E355)</f>
        <v>0</v>
      </c>
    </row>
    <row r="356" spans="1:6">
      <c r="A356">
        <v>355</v>
      </c>
      <c r="B356">
        <f>2*SIN(355*PI()*Dashboard!$C$3)*SIN(355*PI()*Dashboard!$C$3)</f>
        <v>1.9510565162951783</v>
      </c>
      <c r="C356">
        <f>SUM($B$2:B356)</f>
        <v>356.02041712617421</v>
      </c>
      <c r="E356">
        <f>2*SIN(355*PI()*Dashboard!$C$3)*SIN(355*PI()*Dashboard!$C$4)</f>
        <v>0</v>
      </c>
      <c r="F356">
        <f>SUM($E$2:E356)</f>
        <v>0</v>
      </c>
    </row>
    <row r="357" spans="1:6">
      <c r="A357">
        <v>356</v>
      </c>
      <c r="B357">
        <f>2*SIN(356*PI()*Dashboard!$C$3)*SIN(356*PI()*Dashboard!$C$3)</f>
        <v>3.1416838871363283E-2</v>
      </c>
      <c r="C357">
        <f>SUM($B$2:B357)</f>
        <v>356.05183396504555</v>
      </c>
      <c r="E357">
        <f>2*SIN(356*PI()*Dashboard!$C$3)*SIN(356*PI()*Dashboard!$C$4)</f>
        <v>0</v>
      </c>
      <c r="F357">
        <f>SUM($E$2:E357)</f>
        <v>0</v>
      </c>
    </row>
    <row r="358" spans="1:6">
      <c r="A358">
        <v>357</v>
      </c>
      <c r="B358">
        <f>2*SIN(357*PI()*Dashboard!$C$3)*SIN(357*PI()*Dashboard!$C$3)</f>
        <v>1.6845471059286141</v>
      </c>
      <c r="C358">
        <f>SUM($B$2:B358)</f>
        <v>357.73638107097418</v>
      </c>
      <c r="E358">
        <f>2*SIN(357*PI()*Dashboard!$C$3)*SIN(357*PI()*Dashboard!$C$4)</f>
        <v>0</v>
      </c>
      <c r="F358">
        <f>SUM($E$2:E358)</f>
        <v>0</v>
      </c>
    </row>
    <row r="359" spans="1:6">
      <c r="A359">
        <v>358</v>
      </c>
      <c r="B359">
        <f>2*SIN(358*PI()*Dashboard!$C$3)*SIN(358*PI()*Dashboard!$C$3)</f>
        <v>0.81261868541427518</v>
      </c>
      <c r="C359">
        <f>SUM($B$2:B359)</f>
        <v>358.54899975638847</v>
      </c>
      <c r="E359">
        <f>2*SIN(358*PI()*Dashboard!$C$3)*SIN(358*PI()*Dashboard!$C$4)</f>
        <v>0</v>
      </c>
      <c r="F359">
        <f>SUM($E$2:E359)</f>
        <v>0</v>
      </c>
    </row>
    <row r="360" spans="1:6">
      <c r="A360">
        <v>359</v>
      </c>
      <c r="B360">
        <f>2*SIN(359*PI()*Dashboard!$C$3)*SIN(359*PI()*Dashboard!$C$3)</f>
        <v>0.63187544731520617</v>
      </c>
      <c r="C360">
        <f>SUM($B$2:B360)</f>
        <v>359.18087520370369</v>
      </c>
      <c r="E360">
        <f>2*SIN(359*PI()*Dashboard!$C$3)*SIN(359*PI()*Dashboard!$C$4)</f>
        <v>0</v>
      </c>
      <c r="F360">
        <f>SUM($E$2:E360)</f>
        <v>0</v>
      </c>
    </row>
    <row r="361" spans="1:6">
      <c r="A361">
        <v>360</v>
      </c>
      <c r="B361">
        <f>2*SIN(360*PI()*Dashboard!$C$3)*SIN(360*PI()*Dashboard!$C$3)</f>
        <v>1.8090169943749603</v>
      </c>
      <c r="C361">
        <f>SUM($B$2:B361)</f>
        <v>360.98989219807868</v>
      </c>
      <c r="E361">
        <f>2*SIN(360*PI()*Dashboard!$C$3)*SIN(360*PI()*Dashboard!$C$4)</f>
        <v>0</v>
      </c>
      <c r="F361">
        <f>SUM($E$2:E361)</f>
        <v>0</v>
      </c>
    </row>
    <row r="362" spans="1:6">
      <c r="A362">
        <v>361</v>
      </c>
      <c r="B362">
        <f>2*SIN(361*PI()*Dashboard!$C$3)*SIN(361*PI()*Dashboard!$C$3)</f>
        <v>1.9732715717192236E-3</v>
      </c>
      <c r="C362">
        <f>SUM($B$2:B362)</f>
        <v>360.99186546965041</v>
      </c>
      <c r="E362">
        <f>2*SIN(361*PI()*Dashboard!$C$3)*SIN(361*PI()*Dashboard!$C$4)</f>
        <v>0</v>
      </c>
      <c r="F362">
        <f>SUM($E$2:E362)</f>
        <v>0</v>
      </c>
    </row>
    <row r="363" spans="1:6">
      <c r="A363">
        <v>362</v>
      </c>
      <c r="B363">
        <f>2*SIN(362*PI()*Dashboard!$C$3)*SIN(362*PI()*Dashboard!$C$3)</f>
        <v>1.8763066800438424</v>
      </c>
      <c r="C363">
        <f>SUM($B$2:B363)</f>
        <v>362.86817214969426</v>
      </c>
      <c r="E363">
        <f>2*SIN(362*PI()*Dashboard!$C$3)*SIN(362*PI()*Dashboard!$C$4)</f>
        <v>0</v>
      </c>
      <c r="F363">
        <f>SUM($E$2:E363)</f>
        <v>0</v>
      </c>
    </row>
    <row r="364" spans="1:6">
      <c r="A364">
        <v>363</v>
      </c>
      <c r="B364">
        <f>2*SIN(363*PI()*Dashboard!$C$3)*SIN(363*PI()*Dashboard!$C$3)</f>
        <v>0.51824632589833308</v>
      </c>
      <c r="C364">
        <f>SUM($B$2:B364)</f>
        <v>363.38641847559262</v>
      </c>
      <c r="E364">
        <f>2*SIN(363*PI()*Dashboard!$C$3)*SIN(363*PI()*Dashboard!$C$4)</f>
        <v>0</v>
      </c>
      <c r="F364">
        <f>SUM($E$2:E364)</f>
        <v>0</v>
      </c>
    </row>
    <row r="365" spans="1:6">
      <c r="A365">
        <v>364</v>
      </c>
      <c r="B365">
        <f>2*SIN(364*PI()*Dashboard!$C$3)*SIN(364*PI()*Dashboard!$C$3)</f>
        <v>0.93720948047062047</v>
      </c>
      <c r="C365">
        <f>SUM($B$2:B365)</f>
        <v>364.32362795606326</v>
      </c>
      <c r="E365">
        <f>2*SIN(364*PI()*Dashboard!$C$3)*SIN(364*PI()*Dashboard!$C$4)</f>
        <v>0</v>
      </c>
      <c r="F365">
        <f>SUM($E$2:E365)</f>
        <v>0</v>
      </c>
    </row>
    <row r="366" spans="1:6">
      <c r="A366">
        <v>365</v>
      </c>
      <c r="B366">
        <f>2*SIN(365*PI()*Dashboard!$C$3)*SIN(365*PI()*Dashboard!$C$3)</f>
        <v>1.587785252292444</v>
      </c>
      <c r="C366">
        <f>SUM($B$2:B366)</f>
        <v>365.91141320835573</v>
      </c>
      <c r="E366">
        <f>2*SIN(365*PI()*Dashboard!$C$3)*SIN(365*PI()*Dashboard!$C$4)</f>
        <v>0</v>
      </c>
      <c r="F366">
        <f>SUM($E$2:E366)</f>
        <v>0</v>
      </c>
    </row>
    <row r="367" spans="1:6">
      <c r="A367">
        <v>366</v>
      </c>
      <c r="B367">
        <f>2*SIN(366*PI()*Dashboard!$C$3)*SIN(366*PI()*Dashboard!$C$3)</f>
        <v>7.0223514111715971E-2</v>
      </c>
      <c r="C367">
        <f>SUM($B$2:B367)</f>
        <v>365.98163672246744</v>
      </c>
      <c r="E367">
        <f>2*SIN(366*PI()*Dashboard!$C$3)*SIN(366*PI()*Dashboard!$C$4)</f>
        <v>0</v>
      </c>
      <c r="F367">
        <f>SUM($E$2:E367)</f>
        <v>0</v>
      </c>
    </row>
    <row r="368" spans="1:6">
      <c r="A368">
        <v>367</v>
      </c>
      <c r="B368">
        <f>2*SIN(367*PI()*Dashboard!$C$3)*SIN(367*PI()*Dashboard!$C$3)</f>
        <v>1.9822872507286913</v>
      </c>
      <c r="C368">
        <f>SUM($B$2:B368)</f>
        <v>367.96392397319613</v>
      </c>
      <c r="E368">
        <f>2*SIN(367*PI()*Dashboard!$C$3)*SIN(367*PI()*Dashboard!$C$4)</f>
        <v>0</v>
      </c>
      <c r="F368">
        <f>SUM($E$2:E368)</f>
        <v>0</v>
      </c>
    </row>
    <row r="369" spans="1:6">
      <c r="A369">
        <v>368</v>
      </c>
      <c r="B369">
        <f>2*SIN(368*PI()*Dashboard!$C$3)*SIN(368*PI()*Dashboard!$C$3)</f>
        <v>0.27103137257866433</v>
      </c>
      <c r="C369">
        <f>SUM($B$2:B369)</f>
        <v>368.23495534577478</v>
      </c>
      <c r="E369">
        <f>2*SIN(368*PI()*Dashboard!$C$3)*SIN(368*PI()*Dashboard!$C$4)</f>
        <v>0</v>
      </c>
      <c r="F369">
        <f>SUM($E$2:E369)</f>
        <v>0</v>
      </c>
    </row>
    <row r="370" spans="1:6">
      <c r="A370">
        <v>369</v>
      </c>
      <c r="B370">
        <f>2*SIN(369*PI()*Dashboard!$C$3)*SIN(369*PI()*Dashboard!$C$3)</f>
        <v>1.2486898871648469</v>
      </c>
      <c r="C370">
        <f>SUM($B$2:B370)</f>
        <v>369.48364523293964</v>
      </c>
      <c r="E370">
        <f>2*SIN(369*PI()*Dashboard!$C$3)*SIN(369*PI()*Dashboard!$C$4)</f>
        <v>0</v>
      </c>
      <c r="F370">
        <f>SUM($E$2:E370)</f>
        <v>0</v>
      </c>
    </row>
    <row r="371" spans="1:6">
      <c r="A371">
        <v>370</v>
      </c>
      <c r="B371">
        <f>2*SIN(370*PI()*Dashboard!$C$3)*SIN(370*PI()*Dashboard!$C$3)</f>
        <v>1.309016994375074</v>
      </c>
      <c r="C371">
        <f>SUM($B$2:B371)</f>
        <v>370.79266222731474</v>
      </c>
      <c r="E371">
        <f>2*SIN(370*PI()*Dashboard!$C$3)*SIN(370*PI()*Dashboard!$C$4)</f>
        <v>0</v>
      </c>
      <c r="F371">
        <f>SUM($E$2:E371)</f>
        <v>0</v>
      </c>
    </row>
    <row r="372" spans="1:6">
      <c r="A372">
        <v>371</v>
      </c>
      <c r="B372">
        <f>2*SIN(371*PI()*Dashboard!$C$3)*SIN(371*PI()*Dashboard!$C$3)</f>
        <v>0.22948675722419135</v>
      </c>
      <c r="C372">
        <f>SUM($B$2:B372)</f>
        <v>371.02214898453894</v>
      </c>
      <c r="E372">
        <f>2*SIN(371*PI()*Dashboard!$C$3)*SIN(371*PI()*Dashboard!$C$4)</f>
        <v>0</v>
      </c>
      <c r="F372">
        <f>SUM($E$2:E372)</f>
        <v>0</v>
      </c>
    </row>
    <row r="373" spans="1:6">
      <c r="A373">
        <v>372</v>
      </c>
      <c r="B373">
        <f>2*SIN(372*PI()*Dashboard!$C$3)*SIN(372*PI()*Dashboard!$C$3)</f>
        <v>1.9921147013144973</v>
      </c>
      <c r="C373">
        <f>SUM($B$2:B373)</f>
        <v>373.01426368585345</v>
      </c>
      <c r="E373">
        <f>2*SIN(372*PI()*Dashboard!$C$3)*SIN(372*PI()*Dashboard!$C$4)</f>
        <v>0</v>
      </c>
      <c r="F373">
        <f>SUM($E$2:E373)</f>
        <v>0</v>
      </c>
    </row>
    <row r="374" spans="1:6">
      <c r="A374">
        <v>373</v>
      </c>
      <c r="B374">
        <f>2*SIN(373*PI()*Dashboard!$C$3)*SIN(373*PI()*Dashboard!$C$3)</f>
        <v>9.5172947534002933E-2</v>
      </c>
      <c r="C374">
        <f>SUM($B$2:B374)</f>
        <v>373.10943663338747</v>
      </c>
      <c r="E374">
        <f>2*SIN(373*PI()*Dashboard!$C$3)*SIN(373*PI()*Dashboard!$C$4)</f>
        <v>0</v>
      </c>
      <c r="F374">
        <f>SUM($E$2:E374)</f>
        <v>0</v>
      </c>
    </row>
    <row r="375" spans="1:6">
      <c r="A375">
        <v>374</v>
      </c>
      <c r="B375">
        <f>2*SIN(374*PI()*Dashboard!$C$3)*SIN(374*PI()*Dashboard!$C$3)</f>
        <v>1.5358267949789426</v>
      </c>
      <c r="C375">
        <f>SUM($B$2:B375)</f>
        <v>374.64526342836643</v>
      </c>
      <c r="E375">
        <f>2*SIN(374*PI()*Dashboard!$C$3)*SIN(374*PI()*Dashboard!$C$4)</f>
        <v>0</v>
      </c>
      <c r="F375">
        <f>SUM($E$2:E375)</f>
        <v>0</v>
      </c>
    </row>
    <row r="376" spans="1:6">
      <c r="A376">
        <v>375</v>
      </c>
      <c r="B376">
        <f>2*SIN(375*PI()*Dashboard!$C$3)*SIN(375*PI()*Dashboard!$C$3)</f>
        <v>1.0000000000000748</v>
      </c>
      <c r="C376">
        <f>SUM($B$2:B376)</f>
        <v>375.64526342836649</v>
      </c>
      <c r="E376">
        <f>2*SIN(375*PI()*Dashboard!$C$3)*SIN(375*PI()*Dashboard!$C$4)</f>
        <v>0</v>
      </c>
      <c r="F376">
        <f>SUM($E$2:E376)</f>
        <v>0</v>
      </c>
    </row>
    <row r="377" spans="1:6">
      <c r="A377">
        <v>376</v>
      </c>
      <c r="B377">
        <f>2*SIN(376*PI()*Dashboard!$C$3)*SIN(376*PI()*Dashboard!$C$3)</f>
        <v>0.46417320502102671</v>
      </c>
      <c r="C377">
        <f>SUM($B$2:B377)</f>
        <v>376.10943663338753</v>
      </c>
      <c r="E377">
        <f>2*SIN(376*PI()*Dashboard!$C$3)*SIN(376*PI()*Dashboard!$C$4)</f>
        <v>0</v>
      </c>
      <c r="F377">
        <f>SUM($E$2:E377)</f>
        <v>0</v>
      </c>
    </row>
    <row r="378" spans="1:6">
      <c r="A378">
        <v>377</v>
      </c>
      <c r="B378">
        <f>2*SIN(377*PI()*Dashboard!$C$3)*SIN(377*PI()*Dashboard!$C$3)</f>
        <v>1.9048270524660609</v>
      </c>
      <c r="C378">
        <f>SUM($B$2:B378)</f>
        <v>378.01426368585362</v>
      </c>
      <c r="E378">
        <f>2*SIN(377*PI()*Dashboard!$C$3)*SIN(377*PI()*Dashboard!$C$4)</f>
        <v>0</v>
      </c>
      <c r="F378">
        <f>SUM($E$2:E378)</f>
        <v>0</v>
      </c>
    </row>
    <row r="379" spans="1:6">
      <c r="A379">
        <v>378</v>
      </c>
      <c r="B379">
        <f>2*SIN(378*PI()*Dashboard!$C$3)*SIN(378*PI()*Dashboard!$C$3)</f>
        <v>7.8852986855214961E-3</v>
      </c>
      <c r="C379">
        <f>SUM($B$2:B379)</f>
        <v>378.02214898453911</v>
      </c>
      <c r="E379">
        <f>2*SIN(378*PI()*Dashboard!$C$3)*SIN(378*PI()*Dashboard!$C$4)</f>
        <v>0</v>
      </c>
      <c r="F379">
        <f>SUM($E$2:E379)</f>
        <v>0</v>
      </c>
    </row>
    <row r="380" spans="1:6">
      <c r="A380">
        <v>379</v>
      </c>
      <c r="B380">
        <f>2*SIN(379*PI()*Dashboard!$C$3)*SIN(379*PI()*Dashboard!$C$3)</f>
        <v>1.7705132427757131</v>
      </c>
      <c r="C380">
        <f>SUM($B$2:B380)</f>
        <v>379.79266222731485</v>
      </c>
      <c r="E380">
        <f>2*SIN(379*PI()*Dashboard!$C$3)*SIN(379*PI()*Dashboard!$C$4)</f>
        <v>0</v>
      </c>
      <c r="F380">
        <f>SUM($E$2:E380)</f>
        <v>0</v>
      </c>
    </row>
    <row r="381" spans="1:6">
      <c r="A381">
        <v>380</v>
      </c>
      <c r="B381">
        <f>2*SIN(380*PI()*Dashboard!$C$3)*SIN(380*PI()*Dashboard!$C$3)</f>
        <v>0.69098300562506854</v>
      </c>
      <c r="C381">
        <f>SUM($B$2:B381)</f>
        <v>380.48364523293992</v>
      </c>
      <c r="E381">
        <f>2*SIN(380*PI()*Dashboard!$C$3)*SIN(380*PI()*Dashboard!$C$4)</f>
        <v>0</v>
      </c>
      <c r="F381">
        <f>SUM($E$2:E381)</f>
        <v>0</v>
      </c>
    </row>
    <row r="382" spans="1:6">
      <c r="A382">
        <v>381</v>
      </c>
      <c r="B382">
        <f>2*SIN(381*PI()*Dashboard!$C$3)*SIN(381*PI()*Dashboard!$C$3)</f>
        <v>0.75131011283500804</v>
      </c>
      <c r="C382">
        <f>SUM($B$2:B382)</f>
        <v>381.23495534577495</v>
      </c>
      <c r="E382">
        <f>2*SIN(381*PI()*Dashboard!$C$3)*SIN(381*PI()*Dashboard!$C$4)</f>
        <v>0</v>
      </c>
      <c r="F382">
        <f>SUM($E$2:E382)</f>
        <v>0</v>
      </c>
    </row>
    <row r="383" spans="1:6">
      <c r="A383">
        <v>382</v>
      </c>
      <c r="B383">
        <f>2*SIN(382*PI()*Dashboard!$C$3)*SIN(382*PI()*Dashboard!$C$3)</f>
        <v>1.7289686274214382</v>
      </c>
      <c r="C383">
        <f>SUM($B$2:B383)</f>
        <v>382.96392397319642</v>
      </c>
      <c r="E383">
        <f>2*SIN(382*PI()*Dashboard!$C$3)*SIN(382*PI()*Dashboard!$C$4)</f>
        <v>0</v>
      </c>
      <c r="F383">
        <f>SUM($E$2:E383)</f>
        <v>0</v>
      </c>
    </row>
    <row r="384" spans="1:6">
      <c r="A384">
        <v>383</v>
      </c>
      <c r="B384">
        <f>2*SIN(383*PI()*Dashboard!$C$3)*SIN(383*PI()*Dashboard!$C$3)</f>
        <v>1.7712749271280609E-2</v>
      </c>
      <c r="C384">
        <f>SUM($B$2:B384)</f>
        <v>382.98163672246767</v>
      </c>
      <c r="E384">
        <f>2*SIN(383*PI()*Dashboard!$C$3)*SIN(383*PI()*Dashboard!$C$4)</f>
        <v>0</v>
      </c>
      <c r="F384">
        <f>SUM($E$2:E384)</f>
        <v>0</v>
      </c>
    </row>
    <row r="385" spans="1:6">
      <c r="A385">
        <v>384</v>
      </c>
      <c r="B385">
        <f>2*SIN(384*PI()*Dashboard!$C$3)*SIN(384*PI()*Dashboard!$C$3)</f>
        <v>1.9297764858882289</v>
      </c>
      <c r="C385">
        <f>SUM($B$2:B385)</f>
        <v>384.9114132083559</v>
      </c>
      <c r="E385">
        <f>2*SIN(384*PI()*Dashboard!$C$3)*SIN(384*PI()*Dashboard!$C$4)</f>
        <v>0</v>
      </c>
      <c r="F385">
        <f>SUM($E$2:E385)</f>
        <v>0</v>
      </c>
    </row>
    <row r="386" spans="1:6">
      <c r="A386">
        <v>385</v>
      </c>
      <c r="B386">
        <f>2*SIN(385*PI()*Dashboard!$C$3)*SIN(385*PI()*Dashboard!$C$3)</f>
        <v>0.4122147477074935</v>
      </c>
      <c r="C386">
        <f>SUM($B$2:B386)</f>
        <v>385.32362795606338</v>
      </c>
      <c r="E386">
        <f>2*SIN(385*PI()*Dashboard!$C$3)*SIN(385*PI()*Dashboard!$C$4)</f>
        <v>0</v>
      </c>
      <c r="F386">
        <f>SUM($E$2:E386)</f>
        <v>0</v>
      </c>
    </row>
    <row r="387" spans="1:6">
      <c r="A387">
        <v>386</v>
      </c>
      <c r="B387">
        <f>2*SIN(386*PI()*Dashboard!$C$3)*SIN(386*PI()*Dashboard!$C$3)</f>
        <v>1.06279051952923</v>
      </c>
      <c r="C387">
        <f>SUM($B$2:B387)</f>
        <v>386.38641847559262</v>
      </c>
      <c r="E387">
        <f>2*SIN(386*PI()*Dashboard!$C$3)*SIN(386*PI()*Dashboard!$C$4)</f>
        <v>0</v>
      </c>
      <c r="F387">
        <f>SUM($E$2:E387)</f>
        <v>0</v>
      </c>
    </row>
    <row r="388" spans="1:6">
      <c r="A388">
        <v>387</v>
      </c>
      <c r="B388">
        <f>2*SIN(387*PI()*Dashboard!$C$3)*SIN(387*PI()*Dashboard!$C$3)</f>
        <v>1.4817536741016986</v>
      </c>
      <c r="C388">
        <f>SUM($B$2:B388)</f>
        <v>387.86817214969432</v>
      </c>
      <c r="E388">
        <f>2*SIN(387*PI()*Dashboard!$C$3)*SIN(387*PI()*Dashboard!$C$4)</f>
        <v>0</v>
      </c>
      <c r="F388">
        <f>SUM($E$2:E388)</f>
        <v>0</v>
      </c>
    </row>
    <row r="389" spans="1:6">
      <c r="A389">
        <v>388</v>
      </c>
      <c r="B389">
        <f>2*SIN(388*PI()*Dashboard!$C$3)*SIN(388*PI()*Dashboard!$C$3)</f>
        <v>0.12369331995608546</v>
      </c>
      <c r="C389">
        <f>SUM($B$2:B389)</f>
        <v>387.99186546965041</v>
      </c>
      <c r="E389">
        <f>2*SIN(388*PI()*Dashboard!$C$3)*SIN(388*PI()*Dashboard!$C$4)</f>
        <v>0</v>
      </c>
      <c r="F389">
        <f>SUM($E$2:E389)</f>
        <v>0</v>
      </c>
    </row>
    <row r="390" spans="1:6">
      <c r="A390">
        <v>389</v>
      </c>
      <c r="B390">
        <f>2*SIN(389*PI()*Dashboard!$C$3)*SIN(389*PI()*Dashboard!$C$3)</f>
        <v>1.9980267284282713</v>
      </c>
      <c r="C390">
        <f>SUM($B$2:B390)</f>
        <v>389.98989219807868</v>
      </c>
      <c r="E390">
        <f>2*SIN(389*PI()*Dashboard!$C$3)*SIN(389*PI()*Dashboard!$C$4)</f>
        <v>0</v>
      </c>
      <c r="F390">
        <f>SUM($E$2:E390)</f>
        <v>0</v>
      </c>
    </row>
    <row r="391" spans="1:6">
      <c r="A391">
        <v>390</v>
      </c>
      <c r="B391">
        <f>2*SIN(390*PI()*Dashboard!$C$3)*SIN(390*PI()*Dashboard!$C$3)</f>
        <v>0.19098300562512782</v>
      </c>
      <c r="C391">
        <f>SUM($B$2:B391)</f>
        <v>390.18087520370381</v>
      </c>
      <c r="E391">
        <f>2*SIN(390*PI()*Dashboard!$C$3)*SIN(390*PI()*Dashboard!$C$4)</f>
        <v>0</v>
      </c>
      <c r="F391">
        <f>SUM($E$2:E391)</f>
        <v>0</v>
      </c>
    </row>
    <row r="392" spans="1:6">
      <c r="A392">
        <v>391</v>
      </c>
      <c r="B392">
        <f>2*SIN(391*PI()*Dashboard!$C$3)*SIN(391*PI()*Dashboard!$C$3)</f>
        <v>1.3681245526846544</v>
      </c>
      <c r="C392">
        <f>SUM($B$2:B392)</f>
        <v>391.54899975638847</v>
      </c>
      <c r="E392">
        <f>2*SIN(391*PI()*Dashboard!$C$3)*SIN(391*PI()*Dashboard!$C$4)</f>
        <v>0</v>
      </c>
      <c r="F392">
        <f>SUM($E$2:E392)</f>
        <v>0</v>
      </c>
    </row>
    <row r="393" spans="1:6">
      <c r="A393">
        <v>392</v>
      </c>
      <c r="B393">
        <f>2*SIN(392*PI()*Dashboard!$C$3)*SIN(392*PI()*Dashboard!$C$3)</f>
        <v>1.1873813145858723</v>
      </c>
      <c r="C393">
        <f>SUM($B$2:B393)</f>
        <v>392.73638107097435</v>
      </c>
      <c r="E393">
        <f>2*SIN(392*PI()*Dashboard!$C$3)*SIN(392*PI()*Dashboard!$C$4)</f>
        <v>0</v>
      </c>
      <c r="F393">
        <f>SUM($E$2:E393)</f>
        <v>0</v>
      </c>
    </row>
    <row r="394" spans="1:6">
      <c r="A394">
        <v>393</v>
      </c>
      <c r="B394">
        <f>2*SIN(393*PI()*Dashboard!$C$3)*SIN(393*PI()*Dashboard!$C$3)</f>
        <v>0.31545289407127658</v>
      </c>
      <c r="C394">
        <f>SUM($B$2:B394)</f>
        <v>393.0518339650456</v>
      </c>
      <c r="E394">
        <f>2*SIN(393*PI()*Dashboard!$C$3)*SIN(393*PI()*Dashboard!$C$4)</f>
        <v>0</v>
      </c>
      <c r="F394">
        <f>SUM($E$2:E394)</f>
        <v>0</v>
      </c>
    </row>
    <row r="395" spans="1:6">
      <c r="A395">
        <v>394</v>
      </c>
      <c r="B395">
        <f>2*SIN(394*PI()*Dashboard!$C$3)*SIN(394*PI()*Dashboard!$C$3)</f>
        <v>1.9685831611286739</v>
      </c>
      <c r="C395">
        <f>SUM($B$2:B395)</f>
        <v>395.02041712617427</v>
      </c>
      <c r="E395">
        <f>2*SIN(394*PI()*Dashboard!$C$3)*SIN(394*PI()*Dashboard!$C$4)</f>
        <v>0</v>
      </c>
      <c r="F395">
        <f>SUM($E$2:E395)</f>
        <v>0</v>
      </c>
    </row>
    <row r="396" spans="1:6">
      <c r="A396">
        <v>395</v>
      </c>
      <c r="B396">
        <f>2*SIN(395*PI()*Dashboard!$C$3)*SIN(395*PI()*Dashboard!$C$3)</f>
        <v>4.8943483704868014E-2</v>
      </c>
      <c r="C396">
        <f>SUM($B$2:B396)</f>
        <v>395.06936060987914</v>
      </c>
      <c r="E396">
        <f>2*SIN(395*PI()*Dashboard!$C$3)*SIN(395*PI()*Dashboard!$C$4)</f>
        <v>0</v>
      </c>
      <c r="F396">
        <f>SUM($E$2:E396)</f>
        <v>0</v>
      </c>
    </row>
    <row r="397" spans="1:6">
      <c r="A397">
        <v>396</v>
      </c>
      <c r="B397">
        <f>2*SIN(396*PI()*Dashboard!$C$3)*SIN(396*PI()*Dashboard!$C$3)</f>
        <v>1.6374239897487148</v>
      </c>
      <c r="C397">
        <f>SUM($B$2:B397)</f>
        <v>396.70678459962784</v>
      </c>
      <c r="E397">
        <f>2*SIN(396*PI()*Dashboard!$C$3)*SIN(396*PI()*Dashboard!$C$4)</f>
        <v>0</v>
      </c>
      <c r="F397">
        <f>SUM($E$2:E397)</f>
        <v>0</v>
      </c>
    </row>
    <row r="398" spans="1:6">
      <c r="A398">
        <v>397</v>
      </c>
      <c r="B398">
        <f>2*SIN(397*PI()*Dashboard!$C$3)*SIN(397*PI()*Dashboard!$C$3)</f>
        <v>0.87466676643578722</v>
      </c>
      <c r="C398">
        <f>SUM($B$2:B398)</f>
        <v>397.58145136606362</v>
      </c>
      <c r="E398">
        <f>2*SIN(397*PI()*Dashboard!$C$3)*SIN(397*PI()*Dashboard!$C$4)</f>
        <v>0</v>
      </c>
      <c r="F398">
        <f>SUM($E$2:E398)</f>
        <v>0</v>
      </c>
    </row>
    <row r="399" spans="1:6">
      <c r="A399">
        <v>398</v>
      </c>
      <c r="B399">
        <f>2*SIN(398*PI()*Dashboard!$C$3)*SIN(398*PI()*Dashboard!$C$3)</f>
        <v>0.57422070843483397</v>
      </c>
      <c r="C399">
        <f>SUM($B$2:B399)</f>
        <v>398.15567207449845</v>
      </c>
      <c r="E399">
        <f>2*SIN(398*PI()*Dashboard!$C$3)*SIN(398*PI()*Dashboard!$C$4)</f>
        <v>0</v>
      </c>
      <c r="F399">
        <f>SUM($E$2:E399)</f>
        <v>0</v>
      </c>
    </row>
    <row r="400" spans="1:6">
      <c r="A400">
        <v>399</v>
      </c>
      <c r="B400">
        <f>2*SIN(399*PI()*Dashboard!$C$3)*SIN(399*PI()*Dashboard!$C$3)</f>
        <v>1.8443279255020764</v>
      </c>
      <c r="C400">
        <f>SUM($B$2:B400)</f>
        <v>400.00000000000051</v>
      </c>
      <c r="E400">
        <f>2*SIN(399*PI()*Dashboard!$C$3)*SIN(399*PI()*Dashboard!$C$4)</f>
        <v>0</v>
      </c>
      <c r="F400">
        <f>SUM($E$2:E400)</f>
        <v>0</v>
      </c>
    </row>
    <row r="401" spans="1:6">
      <c r="A401">
        <v>400</v>
      </c>
      <c r="B401">
        <f>2*SIN(400*PI()*Dashboard!$C$3)*SIN(400*PI()*Dashboard!$C$3)</f>
        <v>7.8688509504523443E-27</v>
      </c>
      <c r="C401">
        <f>SUM($B$2:B401)</f>
        <v>400.00000000000051</v>
      </c>
      <c r="E401">
        <f>2*SIN(400*PI()*Dashboard!$C$3)*SIN(400*PI()*Dashboard!$C$4)</f>
        <v>0</v>
      </c>
      <c r="F401">
        <f>SUM($E$2:E401)</f>
        <v>0</v>
      </c>
    </row>
    <row r="402" spans="1:6">
      <c r="A402">
        <v>401</v>
      </c>
      <c r="B402">
        <f>2*SIN(401*PI()*Dashboard!$C$3)*SIN(401*PI()*Dashboard!$C$3)</f>
        <v>1.8443279255019418</v>
      </c>
      <c r="C402">
        <f>SUM($B$2:B402)</f>
        <v>401.84432792550245</v>
      </c>
      <c r="E402">
        <f>2*SIN(401*PI()*Dashboard!$C$3)*SIN(401*PI()*Dashboard!$C$4)</f>
        <v>0</v>
      </c>
      <c r="F402">
        <f>SUM($E$2:E402)</f>
        <v>0</v>
      </c>
    </row>
    <row r="403" spans="1:6">
      <c r="A403">
        <v>402</v>
      </c>
      <c r="B403">
        <f>2*SIN(402*PI()*Dashboard!$C$3)*SIN(402*PI()*Dashboard!$C$3)</f>
        <v>0.5742207084350609</v>
      </c>
      <c r="C403">
        <f>SUM($B$2:B403)</f>
        <v>402.41854863393752</v>
      </c>
      <c r="E403">
        <f>2*SIN(402*PI()*Dashboard!$C$3)*SIN(402*PI()*Dashboard!$C$4)</f>
        <v>0</v>
      </c>
      <c r="F403">
        <f>SUM($E$2:E403)</f>
        <v>0</v>
      </c>
    </row>
    <row r="404" spans="1:6">
      <c r="A404">
        <v>403</v>
      </c>
      <c r="B404">
        <f>2*SIN(403*PI()*Dashboard!$C$3)*SIN(403*PI()*Dashboard!$C$3)</f>
        <v>0.8746667664355382</v>
      </c>
      <c r="C404">
        <f>SUM($B$2:B404)</f>
        <v>403.29321540037307</v>
      </c>
      <c r="E404">
        <f>2*SIN(403*PI()*Dashboard!$C$3)*SIN(403*PI()*Dashboard!$C$4)</f>
        <v>0</v>
      </c>
      <c r="F404">
        <f>SUM($E$2:E404)</f>
        <v>0</v>
      </c>
    </row>
    <row r="405" spans="1:6">
      <c r="A405">
        <v>404</v>
      </c>
      <c r="B405">
        <f>2*SIN(404*PI()*Dashboard!$C$3)*SIN(404*PI()*Dashboard!$C$3)</f>
        <v>1.6374239897488205</v>
      </c>
      <c r="C405">
        <f>SUM($B$2:B405)</f>
        <v>404.93063939012188</v>
      </c>
      <c r="E405">
        <f>2*SIN(404*PI()*Dashboard!$C$3)*SIN(404*PI()*Dashboard!$C$4)</f>
        <v>0</v>
      </c>
      <c r="F405">
        <f>SUM($E$2:E405)</f>
        <v>0</v>
      </c>
    </row>
    <row r="406" spans="1:6">
      <c r="A406">
        <v>405</v>
      </c>
      <c r="B406">
        <f>2*SIN(405*PI()*Dashboard!$C$3)*SIN(405*PI()*Dashboard!$C$3)</f>
        <v>4.8943483704790486E-2</v>
      </c>
      <c r="C406">
        <f>SUM($B$2:B406)</f>
        <v>404.9795828738267</v>
      </c>
      <c r="E406">
        <f>2*SIN(405*PI()*Dashboard!$C$3)*SIN(405*PI()*Dashboard!$C$4)</f>
        <v>0</v>
      </c>
      <c r="F406">
        <f>SUM($E$2:E406)</f>
        <v>0</v>
      </c>
    </row>
    <row r="407" spans="1:6">
      <c r="A407">
        <v>406</v>
      </c>
      <c r="B407">
        <f>2*SIN(406*PI()*Dashboard!$C$3)*SIN(406*PI()*Dashboard!$C$3)</f>
        <v>1.9685831611285833</v>
      </c>
      <c r="C407">
        <f>SUM($B$2:B407)</f>
        <v>406.94816603495531</v>
      </c>
      <c r="E407">
        <f>2*SIN(406*PI()*Dashboard!$C$3)*SIN(406*PI()*Dashboard!$C$4)</f>
        <v>0</v>
      </c>
      <c r="F407">
        <f>SUM($E$2:E407)</f>
        <v>0</v>
      </c>
    </row>
    <row r="408" spans="1:6">
      <c r="A408">
        <v>407</v>
      </c>
      <c r="B408">
        <f>2*SIN(407*PI()*Dashboard!$C$3)*SIN(407*PI()*Dashboard!$C$3)</f>
        <v>0.31545289407129368</v>
      </c>
      <c r="C408">
        <f>SUM($B$2:B408)</f>
        <v>407.26361892902662</v>
      </c>
      <c r="E408">
        <f>2*SIN(407*PI()*Dashboard!$C$3)*SIN(407*PI()*Dashboard!$C$4)</f>
        <v>0</v>
      </c>
      <c r="F408">
        <f>SUM($E$2:E408)</f>
        <v>0</v>
      </c>
    </row>
    <row r="409" spans="1:6">
      <c r="A409">
        <v>408</v>
      </c>
      <c r="B409">
        <f>2*SIN(408*PI()*Dashboard!$C$3)*SIN(408*PI()*Dashboard!$C$3)</f>
        <v>1.1873813145855139</v>
      </c>
      <c r="C409">
        <f>SUM($B$2:B409)</f>
        <v>408.45100024361216</v>
      </c>
      <c r="E409">
        <f>2*SIN(408*PI()*Dashboard!$C$3)*SIN(408*PI()*Dashboard!$C$4)</f>
        <v>0</v>
      </c>
      <c r="F409">
        <f>SUM($E$2:E409)</f>
        <v>0</v>
      </c>
    </row>
    <row r="410" spans="1:6">
      <c r="A410">
        <v>409</v>
      </c>
      <c r="B410">
        <f>2*SIN(409*PI()*Dashboard!$C$3)*SIN(409*PI()*Dashboard!$C$3)</f>
        <v>1.3681245526846761</v>
      </c>
      <c r="C410">
        <f>SUM($B$2:B410)</f>
        <v>409.81912479629682</v>
      </c>
      <c r="E410">
        <f>2*SIN(409*PI()*Dashboard!$C$3)*SIN(409*PI()*Dashboard!$C$4)</f>
        <v>0</v>
      </c>
      <c r="F410">
        <f>SUM($E$2:E410)</f>
        <v>0</v>
      </c>
    </row>
    <row r="411" spans="1:6">
      <c r="A411">
        <v>410</v>
      </c>
      <c r="B411">
        <f>2*SIN(410*PI()*Dashboard!$C$3)*SIN(410*PI()*Dashboard!$C$3)</f>
        <v>0.19098300562491352</v>
      </c>
      <c r="C411">
        <f>SUM($B$2:B411)</f>
        <v>410.01010780192172</v>
      </c>
      <c r="E411">
        <f>2*SIN(410*PI()*Dashboard!$C$3)*SIN(410*PI()*Dashboard!$C$4)</f>
        <v>0</v>
      </c>
      <c r="F411">
        <f>SUM($E$2:E411)</f>
        <v>0</v>
      </c>
    </row>
    <row r="412" spans="1:6">
      <c r="A412">
        <v>411</v>
      </c>
      <c r="B412">
        <f>2*SIN(411*PI()*Dashboard!$C$3)*SIN(411*PI()*Dashboard!$C$3)</f>
        <v>1.9980267284282727</v>
      </c>
      <c r="C412">
        <f>SUM($B$2:B412)</f>
        <v>412.00813453034999</v>
      </c>
      <c r="E412">
        <f>2*SIN(411*PI()*Dashboard!$C$3)*SIN(411*PI()*Dashboard!$C$4)</f>
        <v>0</v>
      </c>
      <c r="F412">
        <f>SUM($E$2:E412)</f>
        <v>0</v>
      </c>
    </row>
    <row r="413" spans="1:6">
      <c r="A413">
        <v>412</v>
      </c>
      <c r="B413">
        <f>2*SIN(412*PI()*Dashboard!$C$3)*SIN(412*PI()*Dashboard!$C$3)</f>
        <v>0.12369331995626111</v>
      </c>
      <c r="C413">
        <f>SUM($B$2:B413)</f>
        <v>412.13182785030625</v>
      </c>
      <c r="E413">
        <f>2*SIN(412*PI()*Dashboard!$C$3)*SIN(412*PI()*Dashboard!$C$4)</f>
        <v>0</v>
      </c>
      <c r="F413">
        <f>SUM($E$2:E413)</f>
        <v>0</v>
      </c>
    </row>
    <row r="414" spans="1:6">
      <c r="A414">
        <v>413</v>
      </c>
      <c r="B414">
        <f>2*SIN(413*PI()*Dashboard!$C$3)*SIN(413*PI()*Dashboard!$C$3)</f>
        <v>1.4817536741016779</v>
      </c>
      <c r="C414">
        <f>SUM($B$2:B414)</f>
        <v>413.61358152440795</v>
      </c>
      <c r="E414">
        <f>2*SIN(413*PI()*Dashboard!$C$3)*SIN(413*PI()*Dashboard!$C$4)</f>
        <v>0</v>
      </c>
      <c r="F414">
        <f>SUM($E$2:E414)</f>
        <v>0</v>
      </c>
    </row>
    <row r="415" spans="1:6">
      <c r="A415">
        <v>414</v>
      </c>
      <c r="B415">
        <f>2*SIN(414*PI()*Dashboard!$C$3)*SIN(414*PI()*Dashboard!$C$3)</f>
        <v>1.0627905195295939</v>
      </c>
      <c r="C415">
        <f>SUM($B$2:B415)</f>
        <v>414.67637204393753</v>
      </c>
      <c r="E415">
        <f>2*SIN(414*PI()*Dashboard!$C$3)*SIN(414*PI()*Dashboard!$C$4)</f>
        <v>0</v>
      </c>
      <c r="F415">
        <f>SUM($E$2:E415)</f>
        <v>0</v>
      </c>
    </row>
    <row r="416" spans="1:6">
      <c r="A416">
        <v>415</v>
      </c>
      <c r="B416">
        <f>2*SIN(415*PI()*Dashboard!$C$3)*SIN(415*PI()*Dashboard!$C$3)</f>
        <v>0.41221474770747446</v>
      </c>
      <c r="C416">
        <f>SUM($B$2:B416)</f>
        <v>415.08858679164501</v>
      </c>
      <c r="E416">
        <f>2*SIN(415*PI()*Dashboard!$C$3)*SIN(415*PI()*Dashboard!$C$4)</f>
        <v>0</v>
      </c>
      <c r="F416">
        <f>SUM($E$2:E416)</f>
        <v>0</v>
      </c>
    </row>
    <row r="417" spans="1:6">
      <c r="A417">
        <v>416</v>
      </c>
      <c r="B417">
        <f>2*SIN(416*PI()*Dashboard!$C$3)*SIN(416*PI()*Dashboard!$C$3)</f>
        <v>1.9297764858882795</v>
      </c>
      <c r="C417">
        <f>SUM($B$2:B417)</f>
        <v>417.0183632775333</v>
      </c>
      <c r="E417">
        <f>2*SIN(416*PI()*Dashboard!$C$3)*SIN(416*PI()*Dashboard!$C$4)</f>
        <v>0</v>
      </c>
      <c r="F417">
        <f>SUM($E$2:E417)</f>
        <v>0</v>
      </c>
    </row>
    <row r="418" spans="1:6">
      <c r="A418">
        <v>417</v>
      </c>
      <c r="B418">
        <f>2*SIN(417*PI()*Dashboard!$C$3)*SIN(417*PI()*Dashboard!$C$3)</f>
        <v>1.7712749271327627E-2</v>
      </c>
      <c r="C418">
        <f>SUM($B$2:B418)</f>
        <v>417.03607602680461</v>
      </c>
      <c r="E418">
        <f>2*SIN(417*PI()*Dashboard!$C$3)*SIN(417*PI()*Dashboard!$C$4)</f>
        <v>0</v>
      </c>
      <c r="F418">
        <f>SUM($E$2:E418)</f>
        <v>0</v>
      </c>
    </row>
    <row r="419" spans="1:6">
      <c r="A419">
        <v>418</v>
      </c>
      <c r="B419">
        <f>2*SIN(418*PI()*Dashboard!$C$3)*SIN(418*PI()*Dashboard!$C$3)</f>
        <v>1.7289686274213445</v>
      </c>
      <c r="C419">
        <f>SUM($B$2:B419)</f>
        <v>418.76504465422596</v>
      </c>
      <c r="E419">
        <f>2*SIN(418*PI()*Dashboard!$C$3)*SIN(418*PI()*Dashboard!$C$4)</f>
        <v>0</v>
      </c>
      <c r="F419">
        <f>SUM($E$2:E419)</f>
        <v>0</v>
      </c>
    </row>
    <row r="420" spans="1:6">
      <c r="A420">
        <v>419</v>
      </c>
      <c r="B420">
        <f>2*SIN(419*PI()*Dashboard!$C$3)*SIN(419*PI()*Dashboard!$C$3)</f>
        <v>0.75131011283525106</v>
      </c>
      <c r="C420">
        <f>SUM($B$2:B420)</f>
        <v>419.51635476706122</v>
      </c>
      <c r="E420">
        <f>2*SIN(419*PI()*Dashboard!$C$3)*SIN(419*PI()*Dashboard!$C$4)</f>
        <v>0</v>
      </c>
      <c r="F420">
        <f>SUM($E$2:E420)</f>
        <v>0</v>
      </c>
    </row>
    <row r="421" spans="1:6">
      <c r="A421">
        <v>420</v>
      </c>
      <c r="B421">
        <f>2*SIN(420*PI()*Dashboard!$C$3)*SIN(420*PI()*Dashboard!$C$3)</f>
        <v>0.69098300562493797</v>
      </c>
      <c r="C421">
        <f>SUM($B$2:B421)</f>
        <v>420.20733777268617</v>
      </c>
      <c r="E421">
        <f>2*SIN(420*PI()*Dashboard!$C$3)*SIN(420*PI()*Dashboard!$C$4)</f>
        <v>0</v>
      </c>
      <c r="F421">
        <f>SUM($E$2:E421)</f>
        <v>0</v>
      </c>
    </row>
    <row r="422" spans="1:6">
      <c r="A422">
        <v>421</v>
      </c>
      <c r="B422">
        <f>2*SIN(421*PI()*Dashboard!$C$3)*SIN(421*PI()*Dashboard!$C$3)</f>
        <v>1.7705132427758732</v>
      </c>
      <c r="C422">
        <f>SUM($B$2:B422)</f>
        <v>421.97785101546202</v>
      </c>
      <c r="E422">
        <f>2*SIN(421*PI()*Dashboard!$C$3)*SIN(421*PI()*Dashboard!$C$4)</f>
        <v>0</v>
      </c>
      <c r="F422">
        <f>SUM($E$2:E422)</f>
        <v>0</v>
      </c>
    </row>
    <row r="423" spans="1:6">
      <c r="A423">
        <v>422</v>
      </c>
      <c r="B423">
        <f>2*SIN(422*PI()*Dashboard!$C$3)*SIN(422*PI()*Dashboard!$C$3)</f>
        <v>7.8852986855042981E-3</v>
      </c>
      <c r="C423">
        <f>SUM($B$2:B423)</f>
        <v>421.98573631414752</v>
      </c>
      <c r="E423">
        <f>2*SIN(422*PI()*Dashboard!$C$3)*SIN(422*PI()*Dashboard!$C$4)</f>
        <v>0</v>
      </c>
      <c r="F423">
        <f>SUM($E$2:E423)</f>
        <v>0</v>
      </c>
    </row>
    <row r="424" spans="1:6">
      <c r="A424">
        <v>423</v>
      </c>
      <c r="B424">
        <f>2*SIN(423*PI()*Dashboard!$C$3)*SIN(423*PI()*Dashboard!$C$3)</f>
        <v>1.9048270524659543</v>
      </c>
      <c r="C424">
        <f>SUM($B$2:B424)</f>
        <v>423.89056336661349</v>
      </c>
      <c r="E424">
        <f>2*SIN(423*PI()*Dashboard!$C$3)*SIN(423*PI()*Dashboard!$C$4)</f>
        <v>0</v>
      </c>
      <c r="F424">
        <f>SUM($E$2:E424)</f>
        <v>0</v>
      </c>
    </row>
    <row r="425" spans="1:6">
      <c r="A425">
        <v>424</v>
      </c>
      <c r="B425">
        <f>2*SIN(424*PI()*Dashboard!$C$3)*SIN(424*PI()*Dashboard!$C$3)</f>
        <v>0.46417320502114251</v>
      </c>
      <c r="C425">
        <f>SUM($B$2:B425)</f>
        <v>424.35473657163465</v>
      </c>
      <c r="E425">
        <f>2*SIN(424*PI()*Dashboard!$C$3)*SIN(424*PI()*Dashboard!$C$4)</f>
        <v>0</v>
      </c>
      <c r="F425">
        <f>SUM($E$2:E425)</f>
        <v>0</v>
      </c>
    </row>
    <row r="426" spans="1:6">
      <c r="A426">
        <v>425</v>
      </c>
      <c r="B426">
        <f>2*SIN(425*PI()*Dashboard!$C$3)*SIN(425*PI()*Dashboard!$C$3)</f>
        <v>0.99999999999982392</v>
      </c>
      <c r="C426">
        <f>SUM($B$2:B426)</f>
        <v>425.35473657163448</v>
      </c>
      <c r="E426">
        <f>2*SIN(425*PI()*Dashboard!$C$3)*SIN(425*PI()*Dashboard!$C$4)</f>
        <v>0</v>
      </c>
      <c r="F426">
        <f>SUM($E$2:E426)</f>
        <v>0</v>
      </c>
    </row>
    <row r="427" spans="1:6">
      <c r="A427">
        <v>426</v>
      </c>
      <c r="B427">
        <f>2*SIN(426*PI()*Dashboard!$C$3)*SIN(426*PI()*Dashboard!$C$3)</f>
        <v>1.5358267949791546</v>
      </c>
      <c r="C427">
        <f>SUM($B$2:B427)</f>
        <v>426.89056336661361</v>
      </c>
      <c r="E427">
        <f>2*SIN(426*PI()*Dashboard!$C$3)*SIN(426*PI()*Dashboard!$C$4)</f>
        <v>0</v>
      </c>
      <c r="F427">
        <f>SUM($E$2:E427)</f>
        <v>0</v>
      </c>
    </row>
    <row r="428" spans="1:6">
      <c r="A428">
        <v>427</v>
      </c>
      <c r="B428">
        <f>2*SIN(427*PI()*Dashboard!$C$3)*SIN(427*PI()*Dashboard!$C$3)</f>
        <v>9.5172947533992913E-2</v>
      </c>
      <c r="C428">
        <f>SUM($B$2:B428)</f>
        <v>426.98573631414757</v>
      </c>
      <c r="E428">
        <f>2*SIN(427*PI()*Dashboard!$C$3)*SIN(427*PI()*Dashboard!$C$4)</f>
        <v>0</v>
      </c>
      <c r="F428">
        <f>SUM($E$2:E428)</f>
        <v>0</v>
      </c>
    </row>
    <row r="429" spans="1:6">
      <c r="A429">
        <v>428</v>
      </c>
      <c r="B429">
        <f>2*SIN(428*PI()*Dashboard!$C$3)*SIN(428*PI()*Dashboard!$C$3)</f>
        <v>1.9921147013144516</v>
      </c>
      <c r="C429">
        <f>SUM($B$2:B429)</f>
        <v>428.97785101546202</v>
      </c>
      <c r="E429">
        <f>2*SIN(428*PI()*Dashboard!$C$3)*SIN(428*PI()*Dashboard!$C$4)</f>
        <v>0</v>
      </c>
      <c r="F429">
        <f>SUM($E$2:E429)</f>
        <v>0</v>
      </c>
    </row>
    <row r="430" spans="1:6">
      <c r="A430">
        <v>429</v>
      </c>
      <c r="B430">
        <f>2*SIN(429*PI()*Dashboard!$C$3)*SIN(429*PI()*Dashboard!$C$3)</f>
        <v>0.22948675722420631</v>
      </c>
      <c r="C430">
        <f>SUM($B$2:B430)</f>
        <v>429.20733777268623</v>
      </c>
      <c r="E430">
        <f>2*SIN(429*PI()*Dashboard!$C$3)*SIN(429*PI()*Dashboard!$C$4)</f>
        <v>0</v>
      </c>
      <c r="F430">
        <f>SUM($E$2:E430)</f>
        <v>0</v>
      </c>
    </row>
    <row r="431" spans="1:6">
      <c r="A431">
        <v>430</v>
      </c>
      <c r="B431">
        <f>2*SIN(430*PI()*Dashboard!$C$3)*SIN(430*PI()*Dashboard!$C$3)</f>
        <v>1.3090169943747272</v>
      </c>
      <c r="C431">
        <f>SUM($B$2:B431)</f>
        <v>430.51635476706093</v>
      </c>
      <c r="E431">
        <f>2*SIN(430*PI()*Dashboard!$C$3)*SIN(430*PI()*Dashboard!$C$4)</f>
        <v>0</v>
      </c>
      <c r="F431">
        <f>SUM($E$2:E431)</f>
        <v>0</v>
      </c>
    </row>
    <row r="432" spans="1:6">
      <c r="A432">
        <v>431</v>
      </c>
      <c r="B432">
        <f>2*SIN(431*PI()*Dashboard!$C$3)*SIN(431*PI()*Dashboard!$C$3)</f>
        <v>1.2486898871648697</v>
      </c>
      <c r="C432">
        <f>SUM($B$2:B432)</f>
        <v>431.76504465422579</v>
      </c>
      <c r="E432">
        <f>2*SIN(431*PI()*Dashboard!$C$3)*SIN(431*PI()*Dashboard!$C$4)</f>
        <v>0</v>
      </c>
      <c r="F432">
        <f>SUM($E$2:E432)</f>
        <v>0</v>
      </c>
    </row>
    <row r="433" spans="1:6">
      <c r="A433">
        <v>432</v>
      </c>
      <c r="B433">
        <f>2*SIN(432*PI()*Dashboard!$C$3)*SIN(432*PI()*Dashboard!$C$3)</f>
        <v>0.27103137257841481</v>
      </c>
      <c r="C433">
        <f>SUM($B$2:B433)</f>
        <v>432.03607602680421</v>
      </c>
      <c r="E433">
        <f>2*SIN(432*PI()*Dashboard!$C$3)*SIN(432*PI()*Dashboard!$C$4)</f>
        <v>0</v>
      </c>
      <c r="F433">
        <f>SUM($E$2:E433)</f>
        <v>0</v>
      </c>
    </row>
    <row r="434" spans="1:6">
      <c r="A434">
        <v>433</v>
      </c>
      <c r="B434">
        <f>2*SIN(433*PI()*Dashboard!$C$3)*SIN(433*PI()*Dashboard!$C$3)</f>
        <v>1.9822872507286957</v>
      </c>
      <c r="C434">
        <f>SUM($B$2:B434)</f>
        <v>434.0183632775329</v>
      </c>
      <c r="E434">
        <f>2*SIN(433*PI()*Dashboard!$C$3)*SIN(433*PI()*Dashboard!$C$4)</f>
        <v>0</v>
      </c>
      <c r="F434">
        <f>SUM($E$2:E434)</f>
        <v>0</v>
      </c>
    </row>
    <row r="435" spans="1:6">
      <c r="A435">
        <v>434</v>
      </c>
      <c r="B435">
        <f>2*SIN(434*PI()*Dashboard!$C$3)*SIN(434*PI()*Dashboard!$C$3)</f>
        <v>7.0223514111850183E-2</v>
      </c>
      <c r="C435">
        <f>SUM($B$2:B435)</f>
        <v>434.08858679164473</v>
      </c>
      <c r="E435">
        <f>2*SIN(434*PI()*Dashboard!$C$3)*SIN(434*PI()*Dashboard!$C$4)</f>
        <v>0</v>
      </c>
      <c r="F435">
        <f>SUM($E$2:E435)</f>
        <v>0</v>
      </c>
    </row>
    <row r="436" spans="1:6">
      <c r="A436">
        <v>435</v>
      </c>
      <c r="B436">
        <f>2*SIN(435*PI()*Dashboard!$C$3)*SIN(435*PI()*Dashboard!$C$3)</f>
        <v>1.587785252292425</v>
      </c>
      <c r="C436">
        <f>SUM($B$2:B436)</f>
        <v>435.67637204393714</v>
      </c>
      <c r="E436">
        <f>2*SIN(435*PI()*Dashboard!$C$3)*SIN(435*PI()*Dashboard!$C$4)</f>
        <v>0</v>
      </c>
      <c r="F436">
        <f>SUM($E$2:E436)</f>
        <v>0</v>
      </c>
    </row>
    <row r="437" spans="1:6">
      <c r="A437">
        <v>436</v>
      </c>
      <c r="B437">
        <f>2*SIN(436*PI()*Dashboard!$C$3)*SIN(436*PI()*Dashboard!$C$3)</f>
        <v>0.93720948047098407</v>
      </c>
      <c r="C437">
        <f>SUM($B$2:B437)</f>
        <v>436.61358152440812</v>
      </c>
      <c r="E437">
        <f>2*SIN(436*PI()*Dashboard!$C$3)*SIN(436*PI()*Dashboard!$C$4)</f>
        <v>0</v>
      </c>
      <c r="F437">
        <f>SUM($E$2:E437)</f>
        <v>0</v>
      </c>
    </row>
    <row r="438" spans="1:6">
      <c r="A438">
        <v>437</v>
      </c>
      <c r="B438">
        <f>2*SIN(437*PI()*Dashboard!$C$3)*SIN(437*PI()*Dashboard!$C$3)</f>
        <v>0.51824632589821285</v>
      </c>
      <c r="C438">
        <f>SUM($B$2:B438)</f>
        <v>437.13182785030631</v>
      </c>
      <c r="E438">
        <f>2*SIN(437*PI()*Dashboard!$C$3)*SIN(437*PI()*Dashboard!$C$4)</f>
        <v>0</v>
      </c>
      <c r="F438">
        <f>SUM($E$2:E438)</f>
        <v>0</v>
      </c>
    </row>
    <row r="439" spans="1:6">
      <c r="A439">
        <v>438</v>
      </c>
      <c r="B439">
        <f>2*SIN(438*PI()*Dashboard!$C$3)*SIN(438*PI()*Dashboard!$C$3)</f>
        <v>1.8763066800439085</v>
      </c>
      <c r="C439">
        <f>SUM($B$2:B439)</f>
        <v>439.00813453035022</v>
      </c>
      <c r="E439">
        <f>2*SIN(438*PI()*Dashboard!$C$3)*SIN(438*PI()*Dashboard!$C$4)</f>
        <v>0</v>
      </c>
      <c r="F439">
        <f>SUM($E$2:E439)</f>
        <v>0</v>
      </c>
    </row>
    <row r="440" spans="1:6">
      <c r="A440">
        <v>439</v>
      </c>
      <c r="B440">
        <f>2*SIN(439*PI()*Dashboard!$C$3)*SIN(439*PI()*Dashboard!$C$3)</f>
        <v>1.9732715717349775E-3</v>
      </c>
      <c r="C440">
        <f>SUM($B$2:B440)</f>
        <v>439.01010780192195</v>
      </c>
      <c r="E440">
        <f>2*SIN(439*PI()*Dashboard!$C$3)*SIN(439*PI()*Dashboard!$C$4)</f>
        <v>0</v>
      </c>
      <c r="F440">
        <f>SUM($E$2:E440)</f>
        <v>0</v>
      </c>
    </row>
    <row r="441" spans="1:6">
      <c r="A441">
        <v>440</v>
      </c>
      <c r="B441">
        <f>2*SIN(440*PI()*Dashboard!$C$3)*SIN(440*PI()*Dashboard!$C$3)</f>
        <v>1.8090169943748797</v>
      </c>
      <c r="C441">
        <f>SUM($B$2:B441)</f>
        <v>440.81912479629682</v>
      </c>
      <c r="E441">
        <f>2*SIN(440*PI()*Dashboard!$C$3)*SIN(440*PI()*Dashboard!$C$4)</f>
        <v>0</v>
      </c>
      <c r="F441">
        <f>SUM($E$2:E441)</f>
        <v>0</v>
      </c>
    </row>
    <row r="442" spans="1:6">
      <c r="A442">
        <v>441</v>
      </c>
      <c r="B442">
        <f>2*SIN(441*PI()*Dashboard!$C$3)*SIN(441*PI()*Dashboard!$C$3)</f>
        <v>0.63187544731543954</v>
      </c>
      <c r="C442">
        <f>SUM($B$2:B442)</f>
        <v>441.45100024361227</v>
      </c>
      <c r="E442">
        <f>2*SIN(441*PI()*Dashboard!$C$3)*SIN(441*PI()*Dashboard!$C$4)</f>
        <v>0</v>
      </c>
      <c r="F442">
        <f>SUM($E$2:E442)</f>
        <v>0</v>
      </c>
    </row>
    <row r="443" spans="1:6">
      <c r="A443">
        <v>442</v>
      </c>
      <c r="B443">
        <f>2*SIN(442*PI()*Dashboard!$C$3)*SIN(442*PI()*Dashboard!$C$3)</f>
        <v>0.8126186854141404</v>
      </c>
      <c r="C443">
        <f>SUM($B$2:B443)</f>
        <v>442.26361892902639</v>
      </c>
      <c r="E443">
        <f>2*SIN(442*PI()*Dashboard!$C$3)*SIN(442*PI()*Dashboard!$C$4)</f>
        <v>0</v>
      </c>
      <c r="F443">
        <f>SUM($E$2:E443)</f>
        <v>0</v>
      </c>
    </row>
    <row r="444" spans="1:6">
      <c r="A444">
        <v>443</v>
      </c>
      <c r="B444">
        <f>2*SIN(443*PI()*Dashboard!$C$3)*SIN(443*PI()*Dashboard!$C$3)</f>
        <v>1.6845471059287971</v>
      </c>
      <c r="C444">
        <f>SUM($B$2:B444)</f>
        <v>443.94816603495519</v>
      </c>
      <c r="E444">
        <f>2*SIN(443*PI()*Dashboard!$C$3)*SIN(443*PI()*Dashboard!$C$4)</f>
        <v>0</v>
      </c>
      <c r="F444">
        <f>SUM($E$2:E444)</f>
        <v>0</v>
      </c>
    </row>
    <row r="445" spans="1:6">
      <c r="A445">
        <v>444</v>
      </c>
      <c r="B445">
        <f>2*SIN(444*PI()*Dashboard!$C$3)*SIN(444*PI()*Dashboard!$C$3)</f>
        <v>3.1416838871329157E-2</v>
      </c>
      <c r="C445">
        <f>SUM($B$2:B445)</f>
        <v>443.97958287382653</v>
      </c>
      <c r="E445">
        <f>2*SIN(444*PI()*Dashboard!$C$3)*SIN(444*PI()*Dashboard!$C$4)</f>
        <v>0</v>
      </c>
      <c r="F445">
        <f>SUM($E$2:E445)</f>
        <v>0</v>
      </c>
    </row>
    <row r="446" spans="1:6">
      <c r="A446">
        <v>445</v>
      </c>
      <c r="B446">
        <f>2*SIN(445*PI()*Dashboard!$C$3)*SIN(445*PI()*Dashboard!$C$3)</f>
        <v>1.9510565162951006</v>
      </c>
      <c r="C446">
        <f>SUM($B$2:B446)</f>
        <v>445.93063939012166</v>
      </c>
      <c r="E446">
        <f>2*SIN(445*PI()*Dashboard!$C$3)*SIN(445*PI()*Dashboard!$C$4)</f>
        <v>0</v>
      </c>
      <c r="F446">
        <f>SUM($E$2:E446)</f>
        <v>0</v>
      </c>
    </row>
    <row r="447" spans="1:6">
      <c r="A447">
        <v>446</v>
      </c>
      <c r="B447">
        <f>2*SIN(446*PI()*Dashboard!$C$3)*SIN(446*PI()*Dashboard!$C$3)</f>
        <v>0.36257601025145053</v>
      </c>
      <c r="C447">
        <f>SUM($B$2:B447)</f>
        <v>446.29321540037313</v>
      </c>
      <c r="E447">
        <f>2*SIN(446*PI()*Dashboard!$C$3)*SIN(446*PI()*Dashboard!$C$4)</f>
        <v>0</v>
      </c>
      <c r="F447">
        <f>SUM($E$2:E447)</f>
        <v>0</v>
      </c>
    </row>
    <row r="448" spans="1:6">
      <c r="A448">
        <v>447</v>
      </c>
      <c r="B448">
        <f>2*SIN(447*PI()*Dashboard!$C$3)*SIN(447*PI()*Dashboard!$C$3)</f>
        <v>1.1253332335641129</v>
      </c>
      <c r="C448">
        <f>SUM($B$2:B448)</f>
        <v>447.41854863393723</v>
      </c>
      <c r="E448">
        <f>2*SIN(447*PI()*Dashboard!$C$3)*SIN(447*PI()*Dashboard!$C$4)</f>
        <v>0</v>
      </c>
      <c r="F448">
        <f>SUM($E$2:E448)</f>
        <v>0</v>
      </c>
    </row>
    <row r="449" spans="1:6">
      <c r="A449">
        <v>448</v>
      </c>
      <c r="B449">
        <f>2*SIN(448*PI()*Dashboard!$C$3)*SIN(448*PI()*Dashboard!$C$3)</f>
        <v>1.4257792915652574</v>
      </c>
      <c r="C449">
        <f>SUM($B$2:B449)</f>
        <v>448.84432792550251</v>
      </c>
      <c r="E449">
        <f>2*SIN(448*PI()*Dashboard!$C$3)*SIN(448*PI()*Dashboard!$C$4)</f>
        <v>0</v>
      </c>
      <c r="F449">
        <f>SUM($E$2:E449)</f>
        <v>0</v>
      </c>
    </row>
    <row r="450" spans="1:6">
      <c r="A450">
        <v>449</v>
      </c>
      <c r="B450">
        <f>2*SIN(449*PI()*Dashboard!$C$3)*SIN(449*PI()*Dashboard!$C$3)</f>
        <v>0.15567207449799139</v>
      </c>
      <c r="C450">
        <f>SUM($B$2:B450)</f>
        <v>449.00000000000051</v>
      </c>
      <c r="E450">
        <f>2*SIN(449*PI()*Dashboard!$C$3)*SIN(449*PI()*Dashboard!$C$4)</f>
        <v>0</v>
      </c>
      <c r="F450">
        <f>SUM($E$2:E450)</f>
        <v>0</v>
      </c>
    </row>
    <row r="451" spans="1:6">
      <c r="A451">
        <v>450</v>
      </c>
      <c r="B451">
        <f>2*SIN(450*PI()*Dashboard!$C$3)*SIN(450*PI()*Dashboard!$C$3)</f>
        <v>2</v>
      </c>
      <c r="C451">
        <f>SUM($B$2:B451)</f>
        <v>451.00000000000051</v>
      </c>
      <c r="E451">
        <f>2*SIN(450*PI()*Dashboard!$C$3)*SIN(450*PI()*Dashboard!$C$4)</f>
        <v>0</v>
      </c>
      <c r="F451">
        <f>SUM($E$2:E451)</f>
        <v>0</v>
      </c>
    </row>
    <row r="452" spans="1:6">
      <c r="A452">
        <v>451</v>
      </c>
      <c r="B452">
        <f>2*SIN(451*PI()*Dashboard!$C$3)*SIN(451*PI()*Dashboard!$C$3)</f>
        <v>0.15567207449799034</v>
      </c>
      <c r="C452">
        <f>SUM($B$2:B452)</f>
        <v>451.15567207449851</v>
      </c>
      <c r="E452">
        <f>2*SIN(451*PI()*Dashboard!$C$3)*SIN(451*PI()*Dashboard!$C$4)</f>
        <v>0</v>
      </c>
      <c r="F452">
        <f>SUM($E$2:E452)</f>
        <v>0</v>
      </c>
    </row>
    <row r="453" spans="1:6">
      <c r="A453">
        <v>452</v>
      </c>
      <c r="B453">
        <f>2*SIN(452*PI()*Dashboard!$C$3)*SIN(452*PI()*Dashboard!$C$3)</f>
        <v>1.4257792915648477</v>
      </c>
      <c r="C453">
        <f>SUM($B$2:B453)</f>
        <v>452.58145136606333</v>
      </c>
      <c r="E453">
        <f>2*SIN(452*PI()*Dashboard!$C$3)*SIN(452*PI()*Dashboard!$C$4)</f>
        <v>0</v>
      </c>
      <c r="F453">
        <f>SUM($E$2:E453)</f>
        <v>0</v>
      </c>
    </row>
    <row r="454" spans="1:6">
      <c r="A454">
        <v>453</v>
      </c>
      <c r="B454">
        <f>2*SIN(453*PI()*Dashboard!$C$3)*SIN(453*PI()*Dashboard!$C$3)</f>
        <v>1.1253332335643365</v>
      </c>
      <c r="C454">
        <f>SUM($B$2:B454)</f>
        <v>453.70678459962767</v>
      </c>
      <c r="E454">
        <f>2*SIN(453*PI()*Dashboard!$C$3)*SIN(453*PI()*Dashboard!$C$4)</f>
        <v>0</v>
      </c>
      <c r="F454">
        <f>SUM($E$2:E454)</f>
        <v>0</v>
      </c>
    </row>
    <row r="455" spans="1:6">
      <c r="A455">
        <v>454</v>
      </c>
      <c r="B455">
        <f>2*SIN(454*PI()*Dashboard!$C$3)*SIN(454*PI()*Dashboard!$C$3)</f>
        <v>0.36257601025110153</v>
      </c>
      <c r="C455">
        <f>SUM($B$2:B455)</f>
        <v>454.06936060987874</v>
      </c>
      <c r="E455">
        <f>2*SIN(454*PI()*Dashboard!$C$3)*SIN(454*PI()*Dashboard!$C$4)</f>
        <v>0</v>
      </c>
      <c r="F455">
        <f>SUM($E$2:E455)</f>
        <v>0</v>
      </c>
    </row>
    <row r="456" spans="1:6">
      <c r="A456">
        <v>455</v>
      </c>
      <c r="B456">
        <f>2*SIN(455*PI()*Dashboard!$C$3)*SIN(455*PI()*Dashboard!$C$3)</f>
        <v>1.9510565162951705</v>
      </c>
      <c r="C456">
        <f>SUM($B$2:B456)</f>
        <v>456.02041712617392</v>
      </c>
      <c r="E456">
        <f>2*SIN(455*PI()*Dashboard!$C$3)*SIN(455*PI()*Dashboard!$C$4)</f>
        <v>0</v>
      </c>
      <c r="F456">
        <f>SUM($E$2:E456)</f>
        <v>0</v>
      </c>
    </row>
    <row r="457" spans="1:6">
      <c r="A457">
        <v>456</v>
      </c>
      <c r="B457">
        <f>2*SIN(456*PI()*Dashboard!$C$3)*SIN(456*PI()*Dashboard!$C$3)</f>
        <v>3.1416838871441775E-2</v>
      </c>
      <c r="C457">
        <f>SUM($B$2:B457)</f>
        <v>456.05183396504538</v>
      </c>
      <c r="E457">
        <f>2*SIN(456*PI()*Dashboard!$C$3)*SIN(456*PI()*Dashboard!$C$4)</f>
        <v>0</v>
      </c>
      <c r="F457">
        <f>SUM($E$2:E457)</f>
        <v>0</v>
      </c>
    </row>
    <row r="458" spans="1:6">
      <c r="A458">
        <v>457</v>
      </c>
      <c r="B458">
        <f>2*SIN(457*PI()*Dashboard!$C$3)*SIN(457*PI()*Dashboard!$C$3)</f>
        <v>1.6845471059286328</v>
      </c>
      <c r="C458">
        <f>SUM($B$2:B458)</f>
        <v>457.73638107097401</v>
      </c>
      <c r="E458">
        <f>2*SIN(457*PI()*Dashboard!$C$3)*SIN(457*PI()*Dashboard!$C$4)</f>
        <v>0</v>
      </c>
      <c r="F458">
        <f>SUM($E$2:E458)</f>
        <v>0</v>
      </c>
    </row>
    <row r="459" spans="1:6">
      <c r="A459">
        <v>458</v>
      </c>
      <c r="B459">
        <f>2*SIN(458*PI()*Dashboard!$C$3)*SIN(458*PI()*Dashboard!$C$3)</f>
        <v>0.81261868541458515</v>
      </c>
      <c r="C459">
        <f>SUM($B$2:B459)</f>
        <v>458.54899975638858</v>
      </c>
      <c r="E459">
        <f>2*SIN(458*PI()*Dashboard!$C$3)*SIN(458*PI()*Dashboard!$C$4)</f>
        <v>0</v>
      </c>
      <c r="F459">
        <f>SUM($E$2:E459)</f>
        <v>0</v>
      </c>
    </row>
    <row r="460" spans="1:6">
      <c r="A460">
        <v>459</v>
      </c>
      <c r="B460">
        <f>2*SIN(459*PI()*Dashboard!$C$3)*SIN(459*PI()*Dashboard!$C$3)</f>
        <v>0.63187544731522993</v>
      </c>
      <c r="C460">
        <f>SUM($B$2:B460)</f>
        <v>459.18087520370381</v>
      </c>
      <c r="E460">
        <f>2*SIN(459*PI()*Dashboard!$C$3)*SIN(459*PI()*Dashboard!$C$4)</f>
        <v>0</v>
      </c>
      <c r="F460">
        <f>SUM($E$2:E460)</f>
        <v>0</v>
      </c>
    </row>
    <row r="461" spans="1:6">
      <c r="A461">
        <v>460</v>
      </c>
      <c r="B461">
        <f>2*SIN(460*PI()*Dashboard!$C$3)*SIN(460*PI()*Dashboard!$C$3)</f>
        <v>1.8090169943750123</v>
      </c>
      <c r="C461">
        <f>SUM($B$2:B461)</f>
        <v>460.98989219807879</v>
      </c>
      <c r="E461">
        <f>2*SIN(460*PI()*Dashboard!$C$3)*SIN(460*PI()*Dashboard!$C$4)</f>
        <v>0</v>
      </c>
      <c r="F461">
        <f>SUM($E$2:E461)</f>
        <v>0</v>
      </c>
    </row>
    <row r="462" spans="1:6">
      <c r="A462">
        <v>461</v>
      </c>
      <c r="B462">
        <f>2*SIN(461*PI()*Dashboard!$C$3)*SIN(461*PI()*Dashboard!$C$3)</f>
        <v>1.9732715717208234E-3</v>
      </c>
      <c r="C462">
        <f>SUM($B$2:B462)</f>
        <v>460.99186546965052</v>
      </c>
      <c r="E462">
        <f>2*SIN(461*PI()*Dashboard!$C$3)*SIN(461*PI()*Dashboard!$C$4)</f>
        <v>0</v>
      </c>
      <c r="F462">
        <f>SUM($E$2:E462)</f>
        <v>0</v>
      </c>
    </row>
    <row r="463" spans="1:6">
      <c r="A463">
        <v>462</v>
      </c>
      <c r="B463">
        <f>2*SIN(462*PI()*Dashboard!$C$3)*SIN(462*PI()*Dashboard!$C$3)</f>
        <v>1.8763066800437997</v>
      </c>
      <c r="C463">
        <f>SUM($B$2:B463)</f>
        <v>462.86817214969432</v>
      </c>
      <c r="E463">
        <f>2*SIN(462*PI()*Dashboard!$C$3)*SIN(462*PI()*Dashboard!$C$4)</f>
        <v>0</v>
      </c>
      <c r="F463">
        <f>SUM($E$2:E463)</f>
        <v>0</v>
      </c>
    </row>
    <row r="464" spans="1:6">
      <c r="A464">
        <v>463</v>
      </c>
      <c r="B464">
        <f>2*SIN(463*PI()*Dashboard!$C$3)*SIN(463*PI()*Dashboard!$C$3)</f>
        <v>0.51824632589841046</v>
      </c>
      <c r="C464">
        <f>SUM($B$2:B464)</f>
        <v>463.38641847559273</v>
      </c>
      <c r="E464">
        <f>2*SIN(463*PI()*Dashboard!$C$3)*SIN(463*PI()*Dashboard!$C$4)</f>
        <v>0</v>
      </c>
      <c r="F464">
        <f>SUM($E$2:E464)</f>
        <v>0</v>
      </c>
    </row>
    <row r="465" spans="1:6">
      <c r="A465">
        <v>464</v>
      </c>
      <c r="B465">
        <f>2*SIN(464*PI()*Dashboard!$C$3)*SIN(464*PI()*Dashboard!$C$3)</f>
        <v>0.93720948047053232</v>
      </c>
      <c r="C465">
        <f>SUM($B$2:B465)</f>
        <v>464.32362795606326</v>
      </c>
      <c r="E465">
        <f>2*SIN(464*PI()*Dashboard!$C$3)*SIN(464*PI()*Dashboard!$C$4)</f>
        <v>0</v>
      </c>
      <c r="F465">
        <f>SUM($E$2:E465)</f>
        <v>0</v>
      </c>
    </row>
    <row r="466" spans="1:6">
      <c r="A466">
        <v>465</v>
      </c>
      <c r="B466">
        <f>2*SIN(465*PI()*Dashboard!$C$3)*SIN(465*PI()*Dashboard!$C$3)</f>
        <v>1.5877852522926075</v>
      </c>
      <c r="C466">
        <f>SUM($B$2:B466)</f>
        <v>465.9114132083559</v>
      </c>
      <c r="E466">
        <f>2*SIN(465*PI()*Dashboard!$C$3)*SIN(465*PI()*Dashboard!$C$4)</f>
        <v>0</v>
      </c>
      <c r="F466">
        <f>SUM($E$2:E466)</f>
        <v>0</v>
      </c>
    </row>
    <row r="467" spans="1:6">
      <c r="A467">
        <v>466</v>
      </c>
      <c r="B467">
        <f>2*SIN(466*PI()*Dashboard!$C$3)*SIN(466*PI()*Dashboard!$C$3)</f>
        <v>7.0223514111683497E-2</v>
      </c>
      <c r="C467">
        <f>SUM($B$2:B467)</f>
        <v>465.98163672246756</v>
      </c>
      <c r="E467">
        <f>2*SIN(466*PI()*Dashboard!$C$3)*SIN(466*PI()*Dashboard!$C$4)</f>
        <v>0</v>
      </c>
      <c r="F467">
        <f>SUM($E$2:E467)</f>
        <v>0</v>
      </c>
    </row>
    <row r="468" spans="1:6">
      <c r="A468">
        <v>467</v>
      </c>
      <c r="B468">
        <f>2*SIN(467*PI()*Dashboard!$C$3)*SIN(467*PI()*Dashboard!$C$3)</f>
        <v>1.9822872507286533</v>
      </c>
      <c r="C468">
        <f>SUM($B$2:B468)</f>
        <v>467.96392397319619</v>
      </c>
      <c r="E468">
        <f>2*SIN(467*PI()*Dashboard!$C$3)*SIN(467*PI()*Dashboard!$C$4)</f>
        <v>0</v>
      </c>
      <c r="F468">
        <f>SUM($E$2:E468)</f>
        <v>0</v>
      </c>
    </row>
    <row r="469" spans="1:6">
      <c r="A469">
        <v>468</v>
      </c>
      <c r="B469">
        <f>2*SIN(468*PI()*Dashboard!$C$3)*SIN(468*PI()*Dashboard!$C$3)</f>
        <v>0.27103137257872478</v>
      </c>
      <c r="C469">
        <f>SUM($B$2:B469)</f>
        <v>468.23495534577489</v>
      </c>
      <c r="E469">
        <f>2*SIN(468*PI()*Dashboard!$C$3)*SIN(468*PI()*Dashboard!$C$4)</f>
        <v>0</v>
      </c>
      <c r="F469">
        <f>SUM($E$2:E469)</f>
        <v>0</v>
      </c>
    </row>
    <row r="470" spans="1:6">
      <c r="A470">
        <v>469</v>
      </c>
      <c r="B470">
        <f>2*SIN(469*PI()*Dashboard!$C$3)*SIN(469*PI()*Dashboard!$C$3)</f>
        <v>1.248689887164651</v>
      </c>
      <c r="C470">
        <f>SUM($B$2:B470)</f>
        <v>469.48364523293952</v>
      </c>
      <c r="E470">
        <f>2*SIN(469*PI()*Dashboard!$C$3)*SIN(469*PI()*Dashboard!$C$4)</f>
        <v>0</v>
      </c>
      <c r="F470">
        <f>SUM($E$2:E470)</f>
        <v>0</v>
      </c>
    </row>
    <row r="471" spans="1:6">
      <c r="A471">
        <v>470</v>
      </c>
      <c r="B471">
        <f>2*SIN(470*PI()*Dashboard!$C$3)*SIN(470*PI()*Dashboard!$C$3)</f>
        <v>1.3090169943751579</v>
      </c>
      <c r="C471">
        <f>SUM($B$2:B471)</f>
        <v>470.79266222731468</v>
      </c>
      <c r="E471">
        <f>2*SIN(470*PI()*Dashboard!$C$3)*SIN(470*PI()*Dashboard!$C$4)</f>
        <v>0</v>
      </c>
      <c r="F471">
        <f>SUM($E$2:E471)</f>
        <v>0</v>
      </c>
    </row>
    <row r="472" spans="1:6">
      <c r="A472">
        <v>471</v>
      </c>
      <c r="B472">
        <f>2*SIN(471*PI()*Dashboard!$C$3)*SIN(471*PI()*Dashboard!$C$3)</f>
        <v>0.22948675722420758</v>
      </c>
      <c r="C472">
        <f>SUM($B$2:B472)</f>
        <v>471.02214898453889</v>
      </c>
      <c r="E472">
        <f>2*SIN(471*PI()*Dashboard!$C$3)*SIN(471*PI()*Dashboard!$C$4)</f>
        <v>0</v>
      </c>
      <c r="F472">
        <f>SUM($E$2:E472)</f>
        <v>0</v>
      </c>
    </row>
    <row r="473" spans="1:6">
      <c r="A473">
        <v>472</v>
      </c>
      <c r="B473">
        <f>2*SIN(472*PI()*Dashboard!$C$3)*SIN(472*PI()*Dashboard!$C$3)</f>
        <v>1.9921147013145084</v>
      </c>
      <c r="C473">
        <f>SUM($B$2:B473)</f>
        <v>473.01426368585339</v>
      </c>
      <c r="E473">
        <f>2*SIN(472*PI()*Dashboard!$C$3)*SIN(472*PI()*Dashboard!$C$4)</f>
        <v>0</v>
      </c>
      <c r="F473">
        <f>SUM($E$2:E473)</f>
        <v>0</v>
      </c>
    </row>
    <row r="474" spans="1:6">
      <c r="A474">
        <v>473</v>
      </c>
      <c r="B474">
        <f>2*SIN(473*PI()*Dashboard!$C$3)*SIN(473*PI()*Dashboard!$C$3)</f>
        <v>9.5172947533992081E-2</v>
      </c>
      <c r="C474">
        <f>SUM($B$2:B474)</f>
        <v>473.10943663338736</v>
      </c>
      <c r="E474">
        <f>2*SIN(473*PI()*Dashboard!$C$3)*SIN(473*PI()*Dashboard!$C$4)</f>
        <v>0</v>
      </c>
      <c r="F474">
        <f>SUM($E$2:E474)</f>
        <v>0</v>
      </c>
    </row>
    <row r="475" spans="1:6">
      <c r="A475">
        <v>474</v>
      </c>
      <c r="B475">
        <f>2*SIN(474*PI()*Dashboard!$C$3)*SIN(474*PI()*Dashboard!$C$3)</f>
        <v>1.5358267949787721</v>
      </c>
      <c r="C475">
        <f>SUM($B$2:B475)</f>
        <v>474.64526342836615</v>
      </c>
      <c r="E475">
        <f>2*SIN(474*PI()*Dashboard!$C$3)*SIN(474*PI()*Dashboard!$C$4)</f>
        <v>0</v>
      </c>
      <c r="F475">
        <f>SUM($E$2:E475)</f>
        <v>0</v>
      </c>
    </row>
    <row r="476" spans="1:6">
      <c r="A476">
        <v>475</v>
      </c>
      <c r="B476">
        <f>2*SIN(475*PI()*Dashboard!$C$3)*SIN(475*PI()*Dashboard!$C$3)</f>
        <v>1.0000000000000495</v>
      </c>
      <c r="C476">
        <f>SUM($B$2:B476)</f>
        <v>475.64526342836621</v>
      </c>
      <c r="E476">
        <f>2*SIN(475*PI()*Dashboard!$C$3)*SIN(475*PI()*Dashboard!$C$4)</f>
        <v>0</v>
      </c>
      <c r="F476">
        <f>SUM($E$2:E476)</f>
        <v>0</v>
      </c>
    </row>
    <row r="477" spans="1:6">
      <c r="A477">
        <v>476</v>
      </c>
      <c r="B477">
        <f>2*SIN(476*PI()*Dashboard!$C$3)*SIN(476*PI()*Dashboard!$C$3)</f>
        <v>0.4641732050207602</v>
      </c>
      <c r="C477">
        <f>SUM($B$2:B477)</f>
        <v>476.10943663338696</v>
      </c>
      <c r="E477">
        <f>2*SIN(476*PI()*Dashboard!$C$3)*SIN(476*PI()*Dashboard!$C$4)</f>
        <v>0</v>
      </c>
      <c r="F477">
        <f>SUM($E$2:E477)</f>
        <v>0</v>
      </c>
    </row>
    <row r="478" spans="1:6">
      <c r="A478">
        <v>477</v>
      </c>
      <c r="B478">
        <f>2*SIN(477*PI()*Dashboard!$C$3)*SIN(477*PI()*Dashboard!$C$3)</f>
        <v>1.90482705246605</v>
      </c>
      <c r="C478">
        <f>SUM($B$2:B478)</f>
        <v>478.014263685853</v>
      </c>
      <c r="E478">
        <f>2*SIN(477*PI()*Dashboard!$C$3)*SIN(477*PI()*Dashboard!$C$4)</f>
        <v>0</v>
      </c>
      <c r="F478">
        <f>SUM($E$2:E478)</f>
        <v>0</v>
      </c>
    </row>
    <row r="479" spans="1:6">
      <c r="A479">
        <v>478</v>
      </c>
      <c r="B479">
        <f>2*SIN(478*PI()*Dashboard!$C$3)*SIN(478*PI()*Dashboard!$C$3)</f>
        <v>7.8852986855610496E-3</v>
      </c>
      <c r="C479">
        <f>SUM($B$2:B479)</f>
        <v>478.02214898453855</v>
      </c>
      <c r="E479">
        <f>2*SIN(478*PI()*Dashboard!$C$3)*SIN(478*PI()*Dashboard!$C$4)</f>
        <v>0</v>
      </c>
      <c r="F479">
        <f>SUM($E$2:E479)</f>
        <v>0</v>
      </c>
    </row>
    <row r="480" spans="1:6">
      <c r="A480">
        <v>479</v>
      </c>
      <c r="B480">
        <f>2*SIN(479*PI()*Dashboard!$C$3)*SIN(479*PI()*Dashboard!$C$3)</f>
        <v>1.7705132427757295</v>
      </c>
      <c r="C480">
        <f>SUM($B$2:B480)</f>
        <v>479.79266222731428</v>
      </c>
      <c r="E480">
        <f>2*SIN(479*PI()*Dashboard!$C$3)*SIN(479*PI()*Dashboard!$C$4)</f>
        <v>0</v>
      </c>
      <c r="F480">
        <f>SUM($E$2:E480)</f>
        <v>0</v>
      </c>
    </row>
    <row r="481" spans="1:6">
      <c r="A481">
        <v>480</v>
      </c>
      <c r="B481">
        <f>2*SIN(480*PI()*Dashboard!$C$3)*SIN(480*PI()*Dashboard!$C$3)</f>
        <v>0.69098300562515258</v>
      </c>
      <c r="C481">
        <f>SUM($B$2:B481)</f>
        <v>480.48364523293941</v>
      </c>
      <c r="E481">
        <f>2*SIN(480*PI()*Dashboard!$C$3)*SIN(480*PI()*Dashboard!$C$4)</f>
        <v>0</v>
      </c>
      <c r="F481">
        <f>SUM($E$2:E481)</f>
        <v>0</v>
      </c>
    </row>
    <row r="482" spans="1:6">
      <c r="A482">
        <v>481</v>
      </c>
      <c r="B482">
        <f>2*SIN(481*PI()*Dashboard!$C$3)*SIN(481*PI()*Dashboard!$C$3)</f>
        <v>0.7513101128350328</v>
      </c>
      <c r="C482">
        <f>SUM($B$2:B482)</f>
        <v>481.23495534577444</v>
      </c>
      <c r="E482">
        <f>2*SIN(481*PI()*Dashboard!$C$3)*SIN(481*PI()*Dashboard!$C$4)</f>
        <v>0</v>
      </c>
      <c r="F482">
        <f>SUM($E$2:E482)</f>
        <v>0</v>
      </c>
    </row>
    <row r="483" spans="1:6">
      <c r="A483">
        <v>482</v>
      </c>
      <c r="B483">
        <f>2*SIN(482*PI()*Dashboard!$C$3)*SIN(482*PI()*Dashboard!$C$3)</f>
        <v>1.7289686274214988</v>
      </c>
      <c r="C483">
        <f>SUM($B$2:B483)</f>
        <v>482.96392397319596</v>
      </c>
      <c r="E483">
        <f>2*SIN(482*PI()*Dashboard!$C$3)*SIN(482*PI()*Dashboard!$C$4)</f>
        <v>0</v>
      </c>
      <c r="F483">
        <f>SUM($E$2:E483)</f>
        <v>0</v>
      </c>
    </row>
    <row r="484" spans="1:6">
      <c r="A484">
        <v>483</v>
      </c>
      <c r="B484">
        <f>2*SIN(483*PI()*Dashboard!$C$3)*SIN(483*PI()*Dashboard!$C$3)</f>
        <v>1.7712749271285383E-2</v>
      </c>
      <c r="C484">
        <f>SUM($B$2:B484)</f>
        <v>482.98163672246727</v>
      </c>
      <c r="E484">
        <f>2*SIN(483*PI()*Dashboard!$C$3)*SIN(483*PI()*Dashboard!$C$4)</f>
        <v>0</v>
      </c>
      <c r="F484">
        <f>SUM($E$2:E484)</f>
        <v>0</v>
      </c>
    </row>
    <row r="485" spans="1:6">
      <c r="A485">
        <v>484</v>
      </c>
      <c r="B485">
        <f>2*SIN(484*PI()*Dashboard!$C$3)*SIN(484*PI()*Dashboard!$C$3)</f>
        <v>1.9297764858881961</v>
      </c>
      <c r="C485">
        <f>SUM($B$2:B485)</f>
        <v>484.91141320835544</v>
      </c>
      <c r="E485">
        <f>2*SIN(484*PI()*Dashboard!$C$3)*SIN(484*PI()*Dashboard!$C$4)</f>
        <v>0</v>
      </c>
      <c r="F485">
        <f>SUM($E$2:E485)</f>
        <v>0</v>
      </c>
    </row>
    <row r="486" spans="1:6">
      <c r="A486">
        <v>485</v>
      </c>
      <c r="B486">
        <f>2*SIN(485*PI()*Dashboard!$C$3)*SIN(485*PI()*Dashboard!$C$3)</f>
        <v>0.41221474770765681</v>
      </c>
      <c r="C486">
        <f>SUM($B$2:B486)</f>
        <v>485.32362795606309</v>
      </c>
      <c r="E486">
        <f>2*SIN(485*PI()*Dashboard!$C$3)*SIN(485*PI()*Dashboard!$C$4)</f>
        <v>0</v>
      </c>
      <c r="F486">
        <f>SUM($E$2:E486)</f>
        <v>0</v>
      </c>
    </row>
    <row r="487" spans="1:6">
      <c r="A487">
        <v>486</v>
      </c>
      <c r="B487">
        <f>2*SIN(486*PI()*Dashboard!$C$3)*SIN(486*PI()*Dashboard!$C$3)</f>
        <v>1.0627905195291418</v>
      </c>
      <c r="C487">
        <f>SUM($B$2:B487)</f>
        <v>486.38641847559222</v>
      </c>
      <c r="E487">
        <f>2*SIN(486*PI()*Dashboard!$C$3)*SIN(486*PI()*Dashboard!$C$4)</f>
        <v>0</v>
      </c>
      <c r="F487">
        <f>SUM($E$2:E487)</f>
        <v>0</v>
      </c>
    </row>
    <row r="488" spans="1:6">
      <c r="A488">
        <v>487</v>
      </c>
      <c r="B488">
        <f>2*SIN(487*PI()*Dashboard!$C$3)*SIN(487*PI()*Dashboard!$C$3)</f>
        <v>1.4817536741018755</v>
      </c>
      <c r="C488">
        <f>SUM($B$2:B488)</f>
        <v>487.86817214969409</v>
      </c>
      <c r="E488">
        <f>2*SIN(487*PI()*Dashboard!$C$3)*SIN(487*PI()*Dashboard!$C$4)</f>
        <v>0</v>
      </c>
      <c r="F488">
        <f>SUM($E$2:E488)</f>
        <v>0</v>
      </c>
    </row>
    <row r="489" spans="1:6">
      <c r="A489">
        <v>488</v>
      </c>
      <c r="B489">
        <f>2*SIN(488*PI()*Dashboard!$C$3)*SIN(488*PI()*Dashboard!$C$3)</f>
        <v>0.12369331995604296</v>
      </c>
      <c r="C489">
        <f>SUM($B$2:B489)</f>
        <v>487.99186546965012</v>
      </c>
      <c r="E489">
        <f>2*SIN(488*PI()*Dashboard!$C$3)*SIN(488*PI()*Dashboard!$C$4)</f>
        <v>0</v>
      </c>
      <c r="F489">
        <f>SUM($E$2:E489)</f>
        <v>0</v>
      </c>
    </row>
    <row r="490" spans="1:6">
      <c r="A490">
        <v>489</v>
      </c>
      <c r="B490">
        <f>2*SIN(489*PI()*Dashboard!$C$3)*SIN(489*PI()*Dashboard!$C$3)</f>
        <v>1.9980267284282589</v>
      </c>
      <c r="C490">
        <f>SUM($B$2:B490)</f>
        <v>489.98989219807839</v>
      </c>
      <c r="E490">
        <f>2*SIN(489*PI()*Dashboard!$C$3)*SIN(489*PI()*Dashboard!$C$4)</f>
        <v>0</v>
      </c>
      <c r="F490">
        <f>SUM($E$2:E490)</f>
        <v>0</v>
      </c>
    </row>
    <row r="491" spans="1:6">
      <c r="A491">
        <v>490</v>
      </c>
      <c r="B491">
        <f>2*SIN(490*PI()*Dashboard!$C$3)*SIN(490*PI()*Dashboard!$C$3)</f>
        <v>0.1909830056251797</v>
      </c>
      <c r="C491">
        <f>SUM($B$2:B491)</f>
        <v>490.18087520370358</v>
      </c>
      <c r="E491">
        <f>2*SIN(490*PI()*Dashboard!$C$3)*SIN(490*PI()*Dashboard!$C$4)</f>
        <v>0</v>
      </c>
      <c r="F491">
        <f>SUM($E$2:E491)</f>
        <v>0</v>
      </c>
    </row>
    <row r="492" spans="1:6">
      <c r="A492">
        <v>491</v>
      </c>
      <c r="B492">
        <f>2*SIN(491*PI()*Dashboard!$C$3)*SIN(491*PI()*Dashboard!$C$3)</f>
        <v>1.3681245526846779</v>
      </c>
      <c r="C492">
        <f>SUM($B$2:B492)</f>
        <v>491.54899975638824</v>
      </c>
      <c r="E492">
        <f>2*SIN(491*PI()*Dashboard!$C$3)*SIN(491*PI()*Dashboard!$C$4)</f>
        <v>0</v>
      </c>
      <c r="F492">
        <f>SUM($E$2:E492)</f>
        <v>0</v>
      </c>
    </row>
    <row r="493" spans="1:6">
      <c r="A493">
        <v>492</v>
      </c>
      <c r="B493">
        <f>2*SIN(492*PI()*Dashboard!$C$3)*SIN(492*PI()*Dashboard!$C$3)</f>
        <v>1.1873813145859589</v>
      </c>
      <c r="C493">
        <f>SUM($B$2:B493)</f>
        <v>492.73638107097418</v>
      </c>
      <c r="E493">
        <f>2*SIN(492*PI()*Dashboard!$C$3)*SIN(492*PI()*Dashboard!$C$4)</f>
        <v>0</v>
      </c>
      <c r="F493">
        <f>SUM($E$2:E493)</f>
        <v>0</v>
      </c>
    </row>
    <row r="494" spans="1:6">
      <c r="A494">
        <v>493</v>
      </c>
      <c r="B494">
        <f>2*SIN(493*PI()*Dashboard!$C$3)*SIN(493*PI()*Dashboard!$C$3)</f>
        <v>0.31545289407129518</v>
      </c>
      <c r="C494">
        <f>SUM($B$2:B494)</f>
        <v>493.05183396504549</v>
      </c>
      <c r="E494">
        <f>2*SIN(493*PI()*Dashboard!$C$3)*SIN(493*PI()*Dashboard!$C$4)</f>
        <v>0</v>
      </c>
      <c r="F494">
        <f>SUM($E$2:E494)</f>
        <v>0</v>
      </c>
    </row>
    <row r="495" spans="1:6">
      <c r="A495">
        <v>494</v>
      </c>
      <c r="B495">
        <f>2*SIN(494*PI()*Dashboard!$C$3)*SIN(494*PI()*Dashboard!$C$3)</f>
        <v>1.9685831611286961</v>
      </c>
      <c r="C495">
        <f>SUM($B$2:B495)</f>
        <v>495.02041712617421</v>
      </c>
      <c r="E495">
        <f>2*SIN(494*PI()*Dashboard!$C$3)*SIN(494*PI()*Dashboard!$C$4)</f>
        <v>0</v>
      </c>
      <c r="F495">
        <f>SUM($E$2:E495)</f>
        <v>0</v>
      </c>
    </row>
    <row r="496" spans="1:6">
      <c r="A496">
        <v>495</v>
      </c>
      <c r="B496">
        <f>2*SIN(495*PI()*Dashboard!$C$3)*SIN(495*PI()*Dashboard!$C$3)</f>
        <v>4.8943483704860145E-2</v>
      </c>
      <c r="C496">
        <f>SUM($B$2:B496)</f>
        <v>495.06936060987908</v>
      </c>
      <c r="E496">
        <f>2*SIN(495*PI()*Dashboard!$C$3)*SIN(495*PI()*Dashboard!$C$4)</f>
        <v>0</v>
      </c>
      <c r="F496">
        <f>SUM($E$2:E496)</f>
        <v>0</v>
      </c>
    </row>
    <row r="497" spans="1:6">
      <c r="A497">
        <v>496</v>
      </c>
      <c r="B497">
        <f>2*SIN(496*PI()*Dashboard!$C$3)*SIN(496*PI()*Dashboard!$C$3)</f>
        <v>1.6374239897484717</v>
      </c>
      <c r="C497">
        <f>SUM($B$2:B497)</f>
        <v>496.70678459962755</v>
      </c>
      <c r="E497">
        <f>2*SIN(496*PI()*Dashboard!$C$3)*SIN(496*PI()*Dashboard!$C$4)</f>
        <v>0</v>
      </c>
      <c r="F497">
        <f>SUM($E$2:E497)</f>
        <v>0</v>
      </c>
    </row>
    <row r="498" spans="1:6">
      <c r="A498">
        <v>497</v>
      </c>
      <c r="B498">
        <f>2*SIN(497*PI()*Dashboard!$C$3)*SIN(497*PI()*Dashboard!$C$3)</f>
        <v>0.87466676643576202</v>
      </c>
      <c r="C498">
        <f>SUM($B$2:B498)</f>
        <v>497.58145136606333</v>
      </c>
      <c r="E498">
        <f>2*SIN(497*PI()*Dashboard!$C$3)*SIN(497*PI()*Dashboard!$C$4)</f>
        <v>0</v>
      </c>
      <c r="F498">
        <f>SUM($E$2:E498)</f>
        <v>0</v>
      </c>
    </row>
    <row r="499" spans="1:6">
      <c r="A499">
        <v>498</v>
      </c>
      <c r="B499">
        <f>2*SIN(498*PI()*Dashboard!$C$3)*SIN(498*PI()*Dashboard!$C$3)</f>
        <v>0.57422070843485695</v>
      </c>
      <c r="C499">
        <f>SUM($B$2:B499)</f>
        <v>498.15567207449817</v>
      </c>
      <c r="E499">
        <f>2*SIN(498*PI()*Dashboard!$C$3)*SIN(498*PI()*Dashboard!$C$4)</f>
        <v>0</v>
      </c>
      <c r="F499">
        <f>SUM($E$2:E499)</f>
        <v>0</v>
      </c>
    </row>
    <row r="500" spans="1:6">
      <c r="A500">
        <v>499</v>
      </c>
      <c r="B500">
        <f>2*SIN(499*PI()*Dashboard!$C$3)*SIN(499*PI()*Dashboard!$C$3)</f>
        <v>1.8443279255020628</v>
      </c>
      <c r="C500">
        <f>SUM($B$2:B500)</f>
        <v>500.00000000000023</v>
      </c>
      <c r="E500">
        <f>2*SIN(499*PI()*Dashboard!$C$3)*SIN(499*PI()*Dashboard!$C$4)</f>
        <v>0</v>
      </c>
      <c r="F500">
        <f>SUM($E$2:E500)</f>
        <v>0</v>
      </c>
    </row>
    <row r="501" spans="1:6">
      <c r="A501">
        <v>500</v>
      </c>
      <c r="B501">
        <f>2*SIN(500*PI()*Dashboard!$C$3)*SIN(500*PI()*Dashboard!$C$3)</f>
        <v>4.9969082935263091E-27</v>
      </c>
      <c r="C501">
        <f>SUM($B$2:B501)</f>
        <v>500.00000000000023</v>
      </c>
      <c r="E501">
        <f>2*SIN(500*PI()*Dashboard!$C$3)*SIN(500*PI()*Dashboard!$C$4)</f>
        <v>0</v>
      </c>
      <c r="F501">
        <f>SUM($E$2:E501)</f>
        <v>0</v>
      </c>
    </row>
    <row r="502" spans="1:6">
      <c r="A502">
        <v>500</v>
      </c>
      <c r="C502">
        <f>SUM($B$2:B502)</f>
        <v>500.00000000000023</v>
      </c>
    </row>
    <row r="503" spans="1:6">
      <c r="A503">
        <v>500</v>
      </c>
      <c r="C503">
        <f>SUM($B$2:B503)</f>
        <v>500.00000000000023</v>
      </c>
    </row>
    <row r="504" spans="1:6">
      <c r="A504">
        <v>500</v>
      </c>
      <c r="C504">
        <f>SUM($B$2:B504)</f>
        <v>500.00000000000023</v>
      </c>
    </row>
    <row r="505" spans="1:6">
      <c r="A505">
        <v>500</v>
      </c>
      <c r="C505">
        <f>SUM($B$2:B505)</f>
        <v>500.00000000000023</v>
      </c>
    </row>
    <row r="506" spans="1:6">
      <c r="A506">
        <v>500</v>
      </c>
      <c r="C506">
        <f>SUM($B$2:B506)</f>
        <v>500.00000000000023</v>
      </c>
    </row>
    <row r="507" spans="1:6">
      <c r="A507">
        <v>500</v>
      </c>
      <c r="C507">
        <f>SUM($B$2:B507)</f>
        <v>500.00000000000023</v>
      </c>
    </row>
    <row r="508" spans="1:6">
      <c r="A508">
        <v>500</v>
      </c>
      <c r="C508">
        <f>SUM($B$2:B508)</f>
        <v>500.00000000000023</v>
      </c>
    </row>
    <row r="509" spans="1:6">
      <c r="A509">
        <v>500</v>
      </c>
      <c r="C509">
        <f>SUM($B$2:B509)</f>
        <v>500.00000000000023</v>
      </c>
    </row>
    <row r="510" spans="1:6">
      <c r="A510">
        <v>500</v>
      </c>
      <c r="C510">
        <f>SUM($B$2:B510)</f>
        <v>500.00000000000023</v>
      </c>
    </row>
    <row r="511" spans="1:6">
      <c r="A511">
        <v>500</v>
      </c>
      <c r="C511">
        <f>SUM($B$2:B511)</f>
        <v>500.00000000000023</v>
      </c>
    </row>
    <row r="512" spans="1:6">
      <c r="A512">
        <v>500</v>
      </c>
      <c r="C512">
        <f>SUM($B$2:B512)</f>
        <v>500.00000000000023</v>
      </c>
    </row>
    <row r="513" spans="1:3">
      <c r="A513">
        <v>500</v>
      </c>
      <c r="C513">
        <f>SUM($B$2:B513)</f>
        <v>500.00000000000023</v>
      </c>
    </row>
    <row r="514" spans="1:3">
      <c r="A514">
        <v>500</v>
      </c>
      <c r="C514">
        <f>SUM($B$2:B514)</f>
        <v>500.00000000000023</v>
      </c>
    </row>
    <row r="515" spans="1:3">
      <c r="A515">
        <v>500</v>
      </c>
      <c r="C515">
        <f>SUM($B$2:B515)</f>
        <v>500.00000000000023</v>
      </c>
    </row>
    <row r="516" spans="1:3">
      <c r="A516">
        <v>500</v>
      </c>
      <c r="C516">
        <f>SUM($B$2:B516)</f>
        <v>500.00000000000023</v>
      </c>
    </row>
    <row r="517" spans="1:3">
      <c r="A517">
        <v>500</v>
      </c>
      <c r="C517">
        <f>SUM($B$2:B517)</f>
        <v>500.00000000000023</v>
      </c>
    </row>
    <row r="518" spans="1:3">
      <c r="A518">
        <v>500</v>
      </c>
      <c r="C518">
        <f>SUM($B$2:B518)</f>
        <v>500.00000000000023</v>
      </c>
    </row>
    <row r="519" spans="1:3">
      <c r="A519">
        <v>500</v>
      </c>
      <c r="C519">
        <f>SUM($B$2:B519)</f>
        <v>500.00000000000023</v>
      </c>
    </row>
    <row r="520" spans="1:3">
      <c r="A520">
        <v>500</v>
      </c>
      <c r="C520">
        <f>SUM($B$2:B520)</f>
        <v>500.00000000000023</v>
      </c>
    </row>
    <row r="521" spans="1:3">
      <c r="A521">
        <v>500</v>
      </c>
      <c r="C521">
        <f>SUM($B$2:B521)</f>
        <v>500.00000000000023</v>
      </c>
    </row>
    <row r="522" spans="1:3">
      <c r="A522">
        <v>500</v>
      </c>
      <c r="C522">
        <f>SUM($B$2:B522)</f>
        <v>500.00000000000023</v>
      </c>
    </row>
    <row r="523" spans="1:3">
      <c r="A523">
        <v>500</v>
      </c>
      <c r="C523">
        <f>SUM($B$2:B523)</f>
        <v>500.00000000000023</v>
      </c>
    </row>
    <row r="524" spans="1:3">
      <c r="A524">
        <v>500</v>
      </c>
      <c r="C524">
        <f>SUM($B$2:B524)</f>
        <v>500.00000000000023</v>
      </c>
    </row>
    <row r="525" spans="1:3">
      <c r="A525">
        <v>500</v>
      </c>
      <c r="C525">
        <f>SUM($B$2:B525)</f>
        <v>500.00000000000023</v>
      </c>
    </row>
    <row r="526" spans="1:3">
      <c r="A526">
        <v>500</v>
      </c>
      <c r="C526">
        <f>SUM($B$2:B526)</f>
        <v>500.00000000000023</v>
      </c>
    </row>
    <row r="527" spans="1:3">
      <c r="A527">
        <v>500</v>
      </c>
      <c r="C527">
        <f>SUM($B$2:B527)</f>
        <v>500.00000000000023</v>
      </c>
    </row>
    <row r="528" spans="1:3">
      <c r="A528">
        <v>500</v>
      </c>
      <c r="C528">
        <f>SUM($B$2:B528)</f>
        <v>500.00000000000023</v>
      </c>
    </row>
    <row r="529" spans="1:3">
      <c r="A529">
        <v>500</v>
      </c>
      <c r="C529">
        <f>SUM($B$2:B529)</f>
        <v>500.00000000000023</v>
      </c>
    </row>
    <row r="530" spans="1:3">
      <c r="A530">
        <v>500</v>
      </c>
      <c r="C530">
        <f>SUM($B$2:B530)</f>
        <v>500.00000000000023</v>
      </c>
    </row>
    <row r="531" spans="1:3">
      <c r="A531">
        <v>500</v>
      </c>
      <c r="C531">
        <f>SUM($B$2:B531)</f>
        <v>500.00000000000023</v>
      </c>
    </row>
    <row r="532" spans="1:3">
      <c r="A532">
        <v>500</v>
      </c>
      <c r="C532">
        <f>SUM($B$2:B532)</f>
        <v>500.00000000000023</v>
      </c>
    </row>
    <row r="533" spans="1:3">
      <c r="A533">
        <v>500</v>
      </c>
      <c r="C533">
        <f>SUM($B$2:B533)</f>
        <v>500.00000000000023</v>
      </c>
    </row>
    <row r="534" spans="1:3">
      <c r="A534">
        <v>500</v>
      </c>
      <c r="C534">
        <f>SUM($B$2:B534)</f>
        <v>500.00000000000023</v>
      </c>
    </row>
    <row r="535" spans="1:3">
      <c r="A535">
        <v>500</v>
      </c>
      <c r="C535">
        <f>SUM($B$2:B535)</f>
        <v>500.00000000000023</v>
      </c>
    </row>
    <row r="536" spans="1:3">
      <c r="A536">
        <v>500</v>
      </c>
      <c r="C536">
        <f>SUM($B$2:B536)</f>
        <v>500.00000000000023</v>
      </c>
    </row>
    <row r="537" spans="1:3">
      <c r="A537">
        <v>500</v>
      </c>
      <c r="C537">
        <f>SUM($B$2:B537)</f>
        <v>500.00000000000023</v>
      </c>
    </row>
    <row r="538" spans="1:3">
      <c r="A538">
        <v>500</v>
      </c>
      <c r="C538">
        <f>SUM($B$2:B538)</f>
        <v>500.00000000000023</v>
      </c>
    </row>
    <row r="539" spans="1:3">
      <c r="A539">
        <v>500</v>
      </c>
      <c r="C539">
        <f>SUM($B$2:B539)</f>
        <v>500.00000000000023</v>
      </c>
    </row>
    <row r="540" spans="1:3">
      <c r="A540">
        <v>500</v>
      </c>
      <c r="C540">
        <f>SUM($B$2:B540)</f>
        <v>500.00000000000023</v>
      </c>
    </row>
    <row r="541" spans="1:3">
      <c r="A541">
        <v>500</v>
      </c>
      <c r="C541">
        <f>SUM($B$2:B541)</f>
        <v>500.00000000000023</v>
      </c>
    </row>
    <row r="542" spans="1:3">
      <c r="A542">
        <v>500</v>
      </c>
      <c r="C542">
        <f>SUM($B$2:B542)</f>
        <v>500.00000000000023</v>
      </c>
    </row>
    <row r="543" spans="1:3">
      <c r="A543">
        <v>500</v>
      </c>
      <c r="C543">
        <f>SUM($B$2:B543)</f>
        <v>500.00000000000023</v>
      </c>
    </row>
    <row r="544" spans="1:3">
      <c r="A544">
        <v>500</v>
      </c>
      <c r="C544">
        <f>SUM($B$2:B544)</f>
        <v>500.00000000000023</v>
      </c>
    </row>
    <row r="545" spans="1:3">
      <c r="A545">
        <v>500</v>
      </c>
      <c r="C545">
        <f>SUM($B$2:B545)</f>
        <v>500.00000000000023</v>
      </c>
    </row>
    <row r="546" spans="1:3">
      <c r="A546">
        <v>500</v>
      </c>
      <c r="C546">
        <f>SUM($B$2:B546)</f>
        <v>500.00000000000023</v>
      </c>
    </row>
    <row r="547" spans="1:3">
      <c r="A547">
        <v>500</v>
      </c>
      <c r="C547">
        <f>SUM($B$2:B547)</f>
        <v>500.00000000000023</v>
      </c>
    </row>
    <row r="548" spans="1:3">
      <c r="A548">
        <v>500</v>
      </c>
      <c r="C548">
        <f>SUM($B$2:B548)</f>
        <v>500.00000000000023</v>
      </c>
    </row>
    <row r="549" spans="1:3">
      <c r="A549">
        <v>500</v>
      </c>
      <c r="C549">
        <f>SUM($B$2:B549)</f>
        <v>500.00000000000023</v>
      </c>
    </row>
    <row r="550" spans="1:3">
      <c r="A550">
        <v>500</v>
      </c>
      <c r="C550">
        <f>SUM($B$2:B550)</f>
        <v>500.00000000000023</v>
      </c>
    </row>
    <row r="551" spans="1:3">
      <c r="A551">
        <v>500</v>
      </c>
      <c r="C551">
        <f>SUM($B$2:B551)</f>
        <v>500.00000000000023</v>
      </c>
    </row>
    <row r="552" spans="1:3">
      <c r="A552">
        <v>500</v>
      </c>
      <c r="C552">
        <f>SUM($B$2:B552)</f>
        <v>500.00000000000023</v>
      </c>
    </row>
    <row r="553" spans="1:3">
      <c r="A553">
        <v>500</v>
      </c>
      <c r="C553">
        <f>SUM($B$2:B553)</f>
        <v>500.00000000000023</v>
      </c>
    </row>
    <row r="554" spans="1:3">
      <c r="A554">
        <v>500</v>
      </c>
      <c r="C554">
        <f>SUM($B$2:B554)</f>
        <v>500.00000000000023</v>
      </c>
    </row>
    <row r="555" spans="1:3">
      <c r="A555">
        <v>500</v>
      </c>
      <c r="C555">
        <f>SUM($B$2:B555)</f>
        <v>500.00000000000023</v>
      </c>
    </row>
    <row r="556" spans="1:3">
      <c r="A556">
        <v>500</v>
      </c>
      <c r="C556">
        <f>SUM($B$2:B556)</f>
        <v>500.00000000000023</v>
      </c>
    </row>
    <row r="557" spans="1:3">
      <c r="A557">
        <v>500</v>
      </c>
      <c r="C557">
        <f>SUM($B$2:B557)</f>
        <v>500.00000000000023</v>
      </c>
    </row>
    <row r="558" spans="1:3">
      <c r="A558">
        <v>500</v>
      </c>
      <c r="C558">
        <f>SUM($B$2:B558)</f>
        <v>500.00000000000023</v>
      </c>
    </row>
    <row r="559" spans="1:3">
      <c r="A559">
        <v>500</v>
      </c>
      <c r="C559">
        <f>SUM($B$2:B559)</f>
        <v>500.00000000000023</v>
      </c>
    </row>
    <row r="560" spans="1:3">
      <c r="A560">
        <v>500</v>
      </c>
      <c r="C560">
        <f>SUM($B$2:B560)</f>
        <v>500.00000000000023</v>
      </c>
    </row>
    <row r="561" spans="1:3">
      <c r="A561">
        <v>500</v>
      </c>
      <c r="C561">
        <f>SUM($B$2:B561)</f>
        <v>500.00000000000023</v>
      </c>
    </row>
    <row r="562" spans="1:3">
      <c r="A562">
        <v>500</v>
      </c>
      <c r="C562">
        <f>SUM($B$2:B562)</f>
        <v>500.00000000000023</v>
      </c>
    </row>
    <row r="563" spans="1:3">
      <c r="A563">
        <v>500</v>
      </c>
      <c r="C563">
        <f>SUM($B$2:B563)</f>
        <v>500.00000000000023</v>
      </c>
    </row>
    <row r="564" spans="1:3">
      <c r="A564">
        <v>500</v>
      </c>
      <c r="C564">
        <f>SUM($B$2:B564)</f>
        <v>500.00000000000023</v>
      </c>
    </row>
    <row r="565" spans="1:3">
      <c r="A565">
        <v>500</v>
      </c>
      <c r="C565">
        <f>SUM($B$2:B565)</f>
        <v>500.00000000000023</v>
      </c>
    </row>
    <row r="566" spans="1:3">
      <c r="A566">
        <v>500</v>
      </c>
      <c r="C566">
        <f>SUM($B$2:B566)</f>
        <v>500.00000000000023</v>
      </c>
    </row>
    <row r="567" spans="1:3">
      <c r="A567">
        <v>500</v>
      </c>
      <c r="C567">
        <f>SUM($B$2:B567)</f>
        <v>500.00000000000023</v>
      </c>
    </row>
    <row r="568" spans="1:3">
      <c r="A568">
        <v>500</v>
      </c>
      <c r="C568">
        <f>SUM($B$2:B568)</f>
        <v>500.00000000000023</v>
      </c>
    </row>
    <row r="569" spans="1:3">
      <c r="A569">
        <v>500</v>
      </c>
      <c r="C569">
        <f>SUM($B$2:B569)</f>
        <v>500.00000000000023</v>
      </c>
    </row>
    <row r="570" spans="1:3">
      <c r="A570">
        <v>500</v>
      </c>
      <c r="C570">
        <f>SUM($B$2:B570)</f>
        <v>500.00000000000023</v>
      </c>
    </row>
    <row r="571" spans="1:3">
      <c r="A571">
        <v>500</v>
      </c>
      <c r="C571">
        <f>SUM($B$2:B571)</f>
        <v>500.00000000000023</v>
      </c>
    </row>
    <row r="572" spans="1:3">
      <c r="A572">
        <v>500</v>
      </c>
      <c r="C572">
        <f>SUM($B$2:B572)</f>
        <v>500.00000000000023</v>
      </c>
    </row>
    <row r="573" spans="1:3">
      <c r="A573">
        <v>500</v>
      </c>
      <c r="C573">
        <f>SUM($B$2:B573)</f>
        <v>500.00000000000023</v>
      </c>
    </row>
    <row r="574" spans="1:3">
      <c r="A574">
        <v>500</v>
      </c>
      <c r="C574">
        <f>SUM($B$2:B574)</f>
        <v>500.00000000000023</v>
      </c>
    </row>
    <row r="575" spans="1:3">
      <c r="A575">
        <v>500</v>
      </c>
      <c r="C575">
        <f>SUM($B$2:B575)</f>
        <v>500.00000000000023</v>
      </c>
    </row>
    <row r="576" spans="1:3">
      <c r="A576">
        <v>500</v>
      </c>
      <c r="C576">
        <f>SUM($B$2:B576)</f>
        <v>500.00000000000023</v>
      </c>
    </row>
    <row r="577" spans="1:3">
      <c r="A577">
        <v>500</v>
      </c>
      <c r="C577">
        <f>SUM($B$2:B577)</f>
        <v>500.00000000000023</v>
      </c>
    </row>
    <row r="578" spans="1:3">
      <c r="A578">
        <v>500</v>
      </c>
      <c r="C578">
        <f>SUM($B$2:B578)</f>
        <v>500.00000000000023</v>
      </c>
    </row>
    <row r="579" spans="1:3">
      <c r="A579">
        <v>500</v>
      </c>
      <c r="C579">
        <f>SUM($B$2:B579)</f>
        <v>500.00000000000023</v>
      </c>
    </row>
    <row r="580" spans="1:3">
      <c r="A580">
        <v>500</v>
      </c>
      <c r="C580">
        <f>SUM($B$2:B580)</f>
        <v>500.00000000000023</v>
      </c>
    </row>
    <row r="581" spans="1:3">
      <c r="A581">
        <v>500</v>
      </c>
      <c r="C581">
        <f>SUM($B$2:B581)</f>
        <v>500.00000000000023</v>
      </c>
    </row>
    <row r="582" spans="1:3">
      <c r="A582">
        <v>500</v>
      </c>
      <c r="C582">
        <f>SUM($B$2:B582)</f>
        <v>500.00000000000023</v>
      </c>
    </row>
    <row r="583" spans="1:3">
      <c r="A583">
        <v>500</v>
      </c>
      <c r="C583">
        <f>SUM($B$2:B583)</f>
        <v>500.00000000000023</v>
      </c>
    </row>
    <row r="584" spans="1:3">
      <c r="A584">
        <v>500</v>
      </c>
      <c r="C584">
        <f>SUM($B$2:B584)</f>
        <v>500.00000000000023</v>
      </c>
    </row>
    <row r="585" spans="1:3">
      <c r="A585">
        <v>500</v>
      </c>
      <c r="C585">
        <f>SUM($B$2:B585)</f>
        <v>500.00000000000023</v>
      </c>
    </row>
    <row r="586" spans="1:3">
      <c r="A586">
        <v>500</v>
      </c>
      <c r="C586">
        <f>SUM($B$2:B586)</f>
        <v>500.00000000000023</v>
      </c>
    </row>
    <row r="587" spans="1:3">
      <c r="A587">
        <v>500</v>
      </c>
      <c r="C587">
        <f>SUM($B$2:B587)</f>
        <v>500.00000000000023</v>
      </c>
    </row>
    <row r="588" spans="1:3">
      <c r="A588">
        <v>500</v>
      </c>
      <c r="C588">
        <f>SUM($B$2:B588)</f>
        <v>500.00000000000023</v>
      </c>
    </row>
    <row r="589" spans="1:3">
      <c r="A589">
        <v>500</v>
      </c>
      <c r="C589">
        <f>SUM($B$2:B589)</f>
        <v>500.00000000000023</v>
      </c>
    </row>
    <row r="590" spans="1:3">
      <c r="A590">
        <v>500</v>
      </c>
      <c r="C590">
        <f>SUM($B$2:B590)</f>
        <v>500.00000000000023</v>
      </c>
    </row>
    <row r="591" spans="1:3">
      <c r="A591">
        <v>500</v>
      </c>
      <c r="C591">
        <f>SUM($B$2:B591)</f>
        <v>500.00000000000023</v>
      </c>
    </row>
    <row r="592" spans="1:3">
      <c r="A592">
        <v>500</v>
      </c>
      <c r="C592">
        <f>SUM($B$2:B592)</f>
        <v>500.00000000000023</v>
      </c>
    </row>
    <row r="593" spans="1:3">
      <c r="A593">
        <v>500</v>
      </c>
      <c r="C593">
        <f>SUM($B$2:B593)</f>
        <v>500.00000000000023</v>
      </c>
    </row>
    <row r="594" spans="1:3">
      <c r="A594">
        <v>500</v>
      </c>
      <c r="C594">
        <f>SUM($B$2:B594)</f>
        <v>500.00000000000023</v>
      </c>
    </row>
    <row r="595" spans="1:3">
      <c r="A595">
        <v>500</v>
      </c>
      <c r="C595">
        <f>SUM($B$2:B595)</f>
        <v>500.00000000000023</v>
      </c>
    </row>
    <row r="596" spans="1:3">
      <c r="A596">
        <v>500</v>
      </c>
      <c r="C596">
        <f>SUM($B$2:B596)</f>
        <v>500.00000000000023</v>
      </c>
    </row>
    <row r="597" spans="1:3">
      <c r="A597">
        <v>500</v>
      </c>
      <c r="C597">
        <f>SUM($B$2:B597)</f>
        <v>500.00000000000023</v>
      </c>
    </row>
    <row r="598" spans="1:3">
      <c r="A598">
        <v>500</v>
      </c>
      <c r="C598">
        <f>SUM($B$2:B598)</f>
        <v>500.00000000000023</v>
      </c>
    </row>
    <row r="599" spans="1:3">
      <c r="A599">
        <v>500</v>
      </c>
      <c r="C599">
        <f>SUM($B$2:B599)</f>
        <v>500.00000000000023</v>
      </c>
    </row>
    <row r="600" spans="1:3">
      <c r="A600">
        <v>500</v>
      </c>
      <c r="C600">
        <f>SUM($B$2:B600)</f>
        <v>500.00000000000023</v>
      </c>
    </row>
    <row r="601" spans="1:3">
      <c r="A601">
        <v>500</v>
      </c>
      <c r="C601">
        <f>SUM($B$2:B601)</f>
        <v>500.00000000000023</v>
      </c>
    </row>
    <row r="602" spans="1:3">
      <c r="A602">
        <v>500</v>
      </c>
      <c r="C602">
        <f>SUM($B$2:B602)</f>
        <v>500.00000000000023</v>
      </c>
    </row>
    <row r="603" spans="1:3">
      <c r="A603">
        <v>500</v>
      </c>
      <c r="C603">
        <f>SUM($B$2:B603)</f>
        <v>500.00000000000023</v>
      </c>
    </row>
    <row r="604" spans="1:3">
      <c r="A604">
        <v>500</v>
      </c>
      <c r="C604">
        <f>SUM($B$2:B604)</f>
        <v>500.00000000000023</v>
      </c>
    </row>
    <row r="605" spans="1:3">
      <c r="A605">
        <v>500</v>
      </c>
      <c r="C605">
        <f>SUM($B$2:B605)</f>
        <v>500.00000000000023</v>
      </c>
    </row>
    <row r="606" spans="1:3">
      <c r="A606">
        <v>500</v>
      </c>
      <c r="C606">
        <f>SUM($B$2:B606)</f>
        <v>500.00000000000023</v>
      </c>
    </row>
    <row r="607" spans="1:3">
      <c r="A607">
        <v>500</v>
      </c>
      <c r="C607">
        <f>SUM($B$2:B607)</f>
        <v>500.00000000000023</v>
      </c>
    </row>
    <row r="608" spans="1:3">
      <c r="A608">
        <v>500</v>
      </c>
      <c r="C608">
        <f>SUM($B$2:B608)</f>
        <v>500.00000000000023</v>
      </c>
    </row>
    <row r="609" spans="1:3">
      <c r="A609">
        <v>500</v>
      </c>
      <c r="C609">
        <f>SUM($B$2:B609)</f>
        <v>500.00000000000023</v>
      </c>
    </row>
    <row r="610" spans="1:3">
      <c r="A610">
        <v>500</v>
      </c>
      <c r="C610">
        <f>SUM($B$2:B610)</f>
        <v>500.00000000000023</v>
      </c>
    </row>
    <row r="611" spans="1:3">
      <c r="A611">
        <v>500</v>
      </c>
      <c r="C611">
        <f>SUM($B$2:B611)</f>
        <v>500.00000000000023</v>
      </c>
    </row>
    <row r="612" spans="1:3">
      <c r="A612">
        <v>500</v>
      </c>
      <c r="C612">
        <f>SUM($B$2:B612)</f>
        <v>500.00000000000023</v>
      </c>
    </row>
    <row r="613" spans="1:3">
      <c r="A613">
        <v>500</v>
      </c>
      <c r="C613">
        <f>SUM($B$2:B613)</f>
        <v>500.00000000000023</v>
      </c>
    </row>
    <row r="614" spans="1:3">
      <c r="A614">
        <v>500</v>
      </c>
      <c r="C614">
        <f>SUM($B$2:B614)</f>
        <v>500.00000000000023</v>
      </c>
    </row>
    <row r="615" spans="1:3">
      <c r="A615">
        <v>500</v>
      </c>
      <c r="C615">
        <f>SUM($B$2:B615)</f>
        <v>500.00000000000023</v>
      </c>
    </row>
    <row r="616" spans="1:3">
      <c r="A616">
        <v>500</v>
      </c>
      <c r="C616">
        <f>SUM($B$2:B616)</f>
        <v>500.00000000000023</v>
      </c>
    </row>
    <row r="617" spans="1:3">
      <c r="A617">
        <v>500</v>
      </c>
      <c r="C617">
        <f>SUM($B$2:B617)</f>
        <v>500.00000000000023</v>
      </c>
    </row>
    <row r="618" spans="1:3">
      <c r="A618">
        <v>500</v>
      </c>
      <c r="C618">
        <f>SUM($B$2:B618)</f>
        <v>500.00000000000023</v>
      </c>
    </row>
    <row r="619" spans="1:3">
      <c r="A619">
        <v>500</v>
      </c>
      <c r="C619">
        <f>SUM($B$2:B619)</f>
        <v>500.00000000000023</v>
      </c>
    </row>
    <row r="620" spans="1:3">
      <c r="A620">
        <v>500</v>
      </c>
      <c r="C620">
        <f>SUM($B$2:B620)</f>
        <v>500.00000000000023</v>
      </c>
    </row>
    <row r="621" spans="1:3">
      <c r="A621">
        <v>500</v>
      </c>
      <c r="C621">
        <f>SUM($B$2:B621)</f>
        <v>500.00000000000023</v>
      </c>
    </row>
    <row r="622" spans="1:3">
      <c r="A622">
        <v>500</v>
      </c>
      <c r="C622">
        <f>SUM($B$2:B622)</f>
        <v>500.00000000000023</v>
      </c>
    </row>
    <row r="623" spans="1:3">
      <c r="A623">
        <v>500</v>
      </c>
      <c r="C623">
        <f>SUM($B$2:B623)</f>
        <v>500.00000000000023</v>
      </c>
    </row>
    <row r="624" spans="1:3">
      <c r="A624">
        <v>500</v>
      </c>
      <c r="C624">
        <f>SUM($B$2:B624)</f>
        <v>500.00000000000023</v>
      </c>
    </row>
    <row r="625" spans="1:3">
      <c r="A625">
        <v>500</v>
      </c>
      <c r="C625">
        <f>SUM($B$2:B625)</f>
        <v>500.00000000000023</v>
      </c>
    </row>
    <row r="626" spans="1:3">
      <c r="A626">
        <v>500</v>
      </c>
      <c r="C626">
        <f>SUM($B$2:B626)</f>
        <v>500.00000000000023</v>
      </c>
    </row>
    <row r="627" spans="1:3">
      <c r="A627">
        <v>500</v>
      </c>
      <c r="C627">
        <f>SUM($B$2:B627)</f>
        <v>500.00000000000023</v>
      </c>
    </row>
    <row r="628" spans="1:3">
      <c r="A628">
        <v>500</v>
      </c>
      <c r="C628">
        <f>SUM($B$2:B628)</f>
        <v>500.00000000000023</v>
      </c>
    </row>
    <row r="629" spans="1:3">
      <c r="A629">
        <v>500</v>
      </c>
      <c r="C629">
        <f>SUM($B$2:B629)</f>
        <v>500.00000000000023</v>
      </c>
    </row>
    <row r="630" spans="1:3">
      <c r="A630">
        <v>500</v>
      </c>
      <c r="C630">
        <f>SUM($B$2:B630)</f>
        <v>500.00000000000023</v>
      </c>
    </row>
    <row r="631" spans="1:3">
      <c r="A631">
        <v>500</v>
      </c>
      <c r="C631">
        <f>SUM($B$2:B631)</f>
        <v>500.00000000000023</v>
      </c>
    </row>
    <row r="632" spans="1:3">
      <c r="A632">
        <v>500</v>
      </c>
      <c r="C632">
        <f>SUM($B$2:B632)</f>
        <v>500.00000000000023</v>
      </c>
    </row>
    <row r="633" spans="1:3">
      <c r="A633">
        <v>500</v>
      </c>
      <c r="C633">
        <f>SUM($B$2:B633)</f>
        <v>500.00000000000023</v>
      </c>
    </row>
    <row r="634" spans="1:3">
      <c r="A634">
        <v>500</v>
      </c>
      <c r="C634">
        <f>SUM($B$2:B634)</f>
        <v>500.00000000000023</v>
      </c>
    </row>
    <row r="635" spans="1:3">
      <c r="A635">
        <v>500</v>
      </c>
      <c r="C635">
        <f>SUM($B$2:B635)</f>
        <v>500.00000000000023</v>
      </c>
    </row>
    <row r="636" spans="1:3">
      <c r="A636">
        <v>500</v>
      </c>
      <c r="C636">
        <f>SUM($B$2:B636)</f>
        <v>500.00000000000023</v>
      </c>
    </row>
    <row r="637" spans="1:3">
      <c r="A637">
        <v>500</v>
      </c>
      <c r="C637">
        <f>SUM($B$2:B637)</f>
        <v>500.00000000000023</v>
      </c>
    </row>
    <row r="638" spans="1:3">
      <c r="A638">
        <v>500</v>
      </c>
      <c r="C638">
        <f>SUM($B$2:B638)</f>
        <v>500.00000000000023</v>
      </c>
    </row>
    <row r="639" spans="1:3">
      <c r="A639">
        <v>500</v>
      </c>
      <c r="C639">
        <f>SUM($B$2:B639)</f>
        <v>500.00000000000023</v>
      </c>
    </row>
    <row r="640" spans="1:3">
      <c r="A640">
        <v>500</v>
      </c>
      <c r="C640">
        <f>SUM($B$2:B640)</f>
        <v>500.00000000000023</v>
      </c>
    </row>
    <row r="641" spans="1:3">
      <c r="A641">
        <v>500</v>
      </c>
      <c r="C641">
        <f>SUM($B$2:B641)</f>
        <v>500.00000000000023</v>
      </c>
    </row>
    <row r="642" spans="1:3">
      <c r="A642">
        <v>500</v>
      </c>
      <c r="C642">
        <f>SUM($B$2:B642)</f>
        <v>500.00000000000023</v>
      </c>
    </row>
    <row r="643" spans="1:3">
      <c r="A643">
        <v>500</v>
      </c>
      <c r="C643">
        <f>SUM($B$2:B643)</f>
        <v>500.00000000000023</v>
      </c>
    </row>
    <row r="644" spans="1:3">
      <c r="A644">
        <v>500</v>
      </c>
      <c r="C644">
        <f>SUM($B$2:B644)</f>
        <v>500.00000000000023</v>
      </c>
    </row>
    <row r="645" spans="1:3">
      <c r="A645">
        <v>500</v>
      </c>
      <c r="C645">
        <f>SUM($B$2:B645)</f>
        <v>500.00000000000023</v>
      </c>
    </row>
    <row r="646" spans="1:3">
      <c r="A646">
        <v>500</v>
      </c>
      <c r="C646">
        <f>SUM($B$2:B646)</f>
        <v>500.00000000000023</v>
      </c>
    </row>
    <row r="647" spans="1:3">
      <c r="A647">
        <v>500</v>
      </c>
      <c r="C647">
        <f>SUM($B$2:B647)</f>
        <v>500.00000000000023</v>
      </c>
    </row>
    <row r="648" spans="1:3">
      <c r="A648">
        <v>500</v>
      </c>
      <c r="C648">
        <f>SUM($B$2:B648)</f>
        <v>500.00000000000023</v>
      </c>
    </row>
    <row r="649" spans="1:3">
      <c r="A649">
        <v>500</v>
      </c>
      <c r="C649">
        <f>SUM($B$2:B649)</f>
        <v>500.00000000000023</v>
      </c>
    </row>
    <row r="650" spans="1:3">
      <c r="A650">
        <v>500</v>
      </c>
      <c r="C650">
        <f>SUM($B$2:B650)</f>
        <v>500.00000000000023</v>
      </c>
    </row>
    <row r="651" spans="1:3">
      <c r="A651">
        <v>500</v>
      </c>
      <c r="C651">
        <f>SUM($B$2:B651)</f>
        <v>500.00000000000023</v>
      </c>
    </row>
    <row r="652" spans="1:3">
      <c r="A652">
        <v>500</v>
      </c>
      <c r="C652">
        <f>SUM($B$2:B652)</f>
        <v>500.00000000000023</v>
      </c>
    </row>
    <row r="653" spans="1:3">
      <c r="A653">
        <v>500</v>
      </c>
      <c r="C653">
        <f>SUM($B$2:B653)</f>
        <v>500.00000000000023</v>
      </c>
    </row>
    <row r="654" spans="1:3">
      <c r="A654">
        <v>500</v>
      </c>
      <c r="C654">
        <f>SUM($B$2:B654)</f>
        <v>500.00000000000023</v>
      </c>
    </row>
    <row r="655" spans="1:3">
      <c r="A655">
        <v>500</v>
      </c>
      <c r="C655">
        <f>SUM($B$2:B655)</f>
        <v>500.00000000000023</v>
      </c>
    </row>
    <row r="656" spans="1:3">
      <c r="A656">
        <v>500</v>
      </c>
      <c r="C656">
        <f>SUM($B$2:B656)</f>
        <v>500.00000000000023</v>
      </c>
    </row>
    <row r="657" spans="1:3">
      <c r="A657">
        <v>500</v>
      </c>
      <c r="C657">
        <f>SUM($B$2:B657)</f>
        <v>500.00000000000023</v>
      </c>
    </row>
    <row r="658" spans="1:3">
      <c r="A658">
        <v>500</v>
      </c>
      <c r="C658">
        <f>SUM($B$2:B658)</f>
        <v>500.00000000000023</v>
      </c>
    </row>
    <row r="659" spans="1:3">
      <c r="A659">
        <v>500</v>
      </c>
      <c r="C659">
        <f>SUM($B$2:B659)</f>
        <v>500.00000000000023</v>
      </c>
    </row>
    <row r="660" spans="1:3">
      <c r="A660">
        <v>500</v>
      </c>
      <c r="C660">
        <f>SUM($B$2:B660)</f>
        <v>500.00000000000023</v>
      </c>
    </row>
    <row r="661" spans="1:3">
      <c r="A661">
        <v>500</v>
      </c>
      <c r="C661">
        <f>SUM($B$2:B661)</f>
        <v>500.00000000000023</v>
      </c>
    </row>
    <row r="662" spans="1:3">
      <c r="A662">
        <v>500</v>
      </c>
      <c r="C662">
        <f>SUM($B$2:B662)</f>
        <v>500.00000000000023</v>
      </c>
    </row>
    <row r="663" spans="1:3">
      <c r="A663">
        <v>500</v>
      </c>
      <c r="C663">
        <f>SUM($B$2:B663)</f>
        <v>500.00000000000023</v>
      </c>
    </row>
    <row r="664" spans="1:3">
      <c r="A664">
        <v>500</v>
      </c>
      <c r="C664">
        <f>SUM($B$2:B664)</f>
        <v>500.00000000000023</v>
      </c>
    </row>
    <row r="665" spans="1:3">
      <c r="A665">
        <v>500</v>
      </c>
      <c r="C665">
        <f>SUM($B$2:B665)</f>
        <v>500.00000000000023</v>
      </c>
    </row>
    <row r="666" spans="1:3">
      <c r="A666">
        <v>500</v>
      </c>
      <c r="C666">
        <f>SUM($B$2:B666)</f>
        <v>500.00000000000023</v>
      </c>
    </row>
    <row r="667" spans="1:3">
      <c r="A667">
        <v>500</v>
      </c>
      <c r="C667">
        <f>SUM($B$2:B667)</f>
        <v>500.00000000000023</v>
      </c>
    </row>
    <row r="668" spans="1:3">
      <c r="A668">
        <v>500</v>
      </c>
      <c r="C668">
        <f>SUM($B$2:B668)</f>
        <v>500.00000000000023</v>
      </c>
    </row>
    <row r="669" spans="1:3">
      <c r="A669">
        <v>500</v>
      </c>
      <c r="C669">
        <f>SUM($B$2:B669)</f>
        <v>500.00000000000023</v>
      </c>
    </row>
    <row r="670" spans="1:3">
      <c r="A670">
        <v>500</v>
      </c>
      <c r="C670">
        <f>SUM($B$2:B670)</f>
        <v>500.00000000000023</v>
      </c>
    </row>
    <row r="671" spans="1:3">
      <c r="A671">
        <v>500</v>
      </c>
      <c r="C671">
        <f>SUM($B$2:B671)</f>
        <v>500.00000000000023</v>
      </c>
    </row>
    <row r="672" spans="1:3">
      <c r="A672">
        <v>500</v>
      </c>
      <c r="C672">
        <f>SUM($B$2:B672)</f>
        <v>500.00000000000023</v>
      </c>
    </row>
    <row r="673" spans="1:3">
      <c r="A673">
        <v>500</v>
      </c>
      <c r="C673">
        <f>SUM($B$2:B673)</f>
        <v>500.00000000000023</v>
      </c>
    </row>
    <row r="674" spans="1:3">
      <c r="A674">
        <v>500</v>
      </c>
      <c r="C674">
        <f>SUM($B$2:B674)</f>
        <v>500.00000000000023</v>
      </c>
    </row>
    <row r="675" spans="1:3">
      <c r="A675">
        <v>500</v>
      </c>
      <c r="C675">
        <f>SUM($B$2:B675)</f>
        <v>500.00000000000023</v>
      </c>
    </row>
    <row r="676" spans="1:3">
      <c r="A676">
        <v>500</v>
      </c>
      <c r="C676">
        <f>SUM($B$2:B676)</f>
        <v>500.00000000000023</v>
      </c>
    </row>
    <row r="677" spans="1:3">
      <c r="A677">
        <v>500</v>
      </c>
      <c r="C677">
        <f>SUM($B$2:B677)</f>
        <v>500.00000000000023</v>
      </c>
    </row>
    <row r="678" spans="1:3">
      <c r="A678">
        <v>500</v>
      </c>
      <c r="C678">
        <f>SUM($B$2:B678)</f>
        <v>500.00000000000023</v>
      </c>
    </row>
    <row r="679" spans="1:3">
      <c r="A679">
        <v>500</v>
      </c>
      <c r="C679">
        <f>SUM($B$2:B679)</f>
        <v>500.00000000000023</v>
      </c>
    </row>
    <row r="680" spans="1:3">
      <c r="A680">
        <v>500</v>
      </c>
      <c r="C680">
        <f>SUM($B$2:B680)</f>
        <v>500.00000000000023</v>
      </c>
    </row>
    <row r="681" spans="1:3">
      <c r="A681">
        <v>500</v>
      </c>
      <c r="C681">
        <f>SUM($B$2:B681)</f>
        <v>500.00000000000023</v>
      </c>
    </row>
    <row r="682" spans="1:3">
      <c r="A682">
        <v>500</v>
      </c>
      <c r="C682">
        <f>SUM($B$2:B682)</f>
        <v>500.00000000000023</v>
      </c>
    </row>
    <row r="683" spans="1:3">
      <c r="A683">
        <v>500</v>
      </c>
      <c r="C683">
        <f>SUM($B$2:B683)</f>
        <v>500.00000000000023</v>
      </c>
    </row>
    <row r="684" spans="1:3">
      <c r="A684">
        <v>500</v>
      </c>
      <c r="C684">
        <f>SUM($B$2:B684)</f>
        <v>500.00000000000023</v>
      </c>
    </row>
    <row r="685" spans="1:3">
      <c r="A685">
        <v>500</v>
      </c>
      <c r="C685">
        <f>SUM($B$2:B685)</f>
        <v>500.00000000000023</v>
      </c>
    </row>
    <row r="686" spans="1:3">
      <c r="A686">
        <v>500</v>
      </c>
      <c r="C686">
        <f>SUM($B$2:B686)</f>
        <v>500.00000000000023</v>
      </c>
    </row>
    <row r="687" spans="1:3">
      <c r="A687">
        <v>500</v>
      </c>
      <c r="C687">
        <f>SUM($B$2:B687)</f>
        <v>500.00000000000023</v>
      </c>
    </row>
    <row r="688" spans="1:3">
      <c r="A688">
        <v>500</v>
      </c>
      <c r="C688">
        <f>SUM($B$2:B688)</f>
        <v>500.00000000000023</v>
      </c>
    </row>
    <row r="689" spans="1:3">
      <c r="A689">
        <v>500</v>
      </c>
      <c r="C689">
        <f>SUM($B$2:B689)</f>
        <v>500.00000000000023</v>
      </c>
    </row>
    <row r="690" spans="1:3">
      <c r="A690">
        <v>500</v>
      </c>
      <c r="C690">
        <f>SUM($B$2:B690)</f>
        <v>500.00000000000023</v>
      </c>
    </row>
    <row r="691" spans="1:3">
      <c r="A691">
        <v>500</v>
      </c>
      <c r="C691">
        <f>SUM($B$2:B691)</f>
        <v>500.00000000000023</v>
      </c>
    </row>
    <row r="692" spans="1:3">
      <c r="A692">
        <v>500</v>
      </c>
      <c r="C692">
        <f>SUM($B$2:B692)</f>
        <v>500.00000000000023</v>
      </c>
    </row>
    <row r="693" spans="1:3">
      <c r="A693">
        <v>500</v>
      </c>
      <c r="C693">
        <f>SUM($B$2:B693)</f>
        <v>500.00000000000023</v>
      </c>
    </row>
    <row r="694" spans="1:3">
      <c r="A694">
        <v>500</v>
      </c>
      <c r="C694">
        <f>SUM($B$2:B694)</f>
        <v>500.00000000000023</v>
      </c>
    </row>
    <row r="695" spans="1:3">
      <c r="A695">
        <v>500</v>
      </c>
      <c r="C695">
        <f>SUM($B$2:B695)</f>
        <v>500.00000000000023</v>
      </c>
    </row>
    <row r="696" spans="1:3">
      <c r="A696">
        <v>500</v>
      </c>
      <c r="C696">
        <f>SUM($B$2:B696)</f>
        <v>500.00000000000023</v>
      </c>
    </row>
    <row r="697" spans="1:3">
      <c r="A697">
        <v>500</v>
      </c>
      <c r="C697">
        <f>SUM($B$2:B697)</f>
        <v>500.00000000000023</v>
      </c>
    </row>
    <row r="698" spans="1:3">
      <c r="A698">
        <v>500</v>
      </c>
      <c r="C698">
        <f>SUM($B$2:B698)</f>
        <v>500.00000000000023</v>
      </c>
    </row>
    <row r="699" spans="1:3">
      <c r="A699">
        <v>500</v>
      </c>
      <c r="C699">
        <f>SUM($B$2:B699)</f>
        <v>500.00000000000023</v>
      </c>
    </row>
    <row r="700" spans="1:3">
      <c r="A700">
        <v>500</v>
      </c>
      <c r="C700">
        <f>SUM($B$2:B700)</f>
        <v>500.00000000000023</v>
      </c>
    </row>
    <row r="701" spans="1:3">
      <c r="A701">
        <v>500</v>
      </c>
      <c r="C701">
        <f>SUM($B$2:B701)</f>
        <v>500.00000000000023</v>
      </c>
    </row>
    <row r="702" spans="1:3">
      <c r="A702">
        <v>500</v>
      </c>
      <c r="C702">
        <f>SUM($B$2:B702)</f>
        <v>500.00000000000023</v>
      </c>
    </row>
    <row r="703" spans="1:3">
      <c r="A703">
        <v>500</v>
      </c>
      <c r="C703">
        <f>SUM($B$2:B703)</f>
        <v>500.00000000000023</v>
      </c>
    </row>
    <row r="704" spans="1:3">
      <c r="A704">
        <v>500</v>
      </c>
      <c r="C704">
        <f>SUM($B$2:B704)</f>
        <v>500.00000000000023</v>
      </c>
    </row>
    <row r="705" spans="1:3">
      <c r="A705">
        <v>500</v>
      </c>
      <c r="C705">
        <f>SUM($B$2:B705)</f>
        <v>500.00000000000023</v>
      </c>
    </row>
    <row r="706" spans="1:3">
      <c r="A706">
        <v>500</v>
      </c>
      <c r="C706">
        <f>SUM($B$2:B706)</f>
        <v>500.00000000000023</v>
      </c>
    </row>
    <row r="707" spans="1:3">
      <c r="A707">
        <v>500</v>
      </c>
      <c r="C707">
        <f>SUM($B$2:B707)</f>
        <v>500.00000000000023</v>
      </c>
    </row>
    <row r="708" spans="1:3">
      <c r="A708">
        <v>500</v>
      </c>
      <c r="C708">
        <f>SUM($B$2:B708)</f>
        <v>500.00000000000023</v>
      </c>
    </row>
    <row r="709" spans="1:3">
      <c r="A709">
        <v>500</v>
      </c>
      <c r="C709">
        <f>SUM($B$2:B709)</f>
        <v>500.00000000000023</v>
      </c>
    </row>
    <row r="710" spans="1:3">
      <c r="A710">
        <v>500</v>
      </c>
      <c r="C710">
        <f>SUM($B$2:B710)</f>
        <v>500.00000000000023</v>
      </c>
    </row>
    <row r="711" spans="1:3">
      <c r="A711">
        <v>500</v>
      </c>
      <c r="C711">
        <f>SUM($B$2:B711)</f>
        <v>500.00000000000023</v>
      </c>
    </row>
    <row r="712" spans="1:3">
      <c r="A712">
        <v>500</v>
      </c>
      <c r="C712">
        <f>SUM($B$2:B712)</f>
        <v>500.00000000000023</v>
      </c>
    </row>
    <row r="713" spans="1:3">
      <c r="A713">
        <v>500</v>
      </c>
      <c r="C713">
        <f>SUM($B$2:B713)</f>
        <v>500.00000000000023</v>
      </c>
    </row>
    <row r="714" spans="1:3">
      <c r="A714">
        <v>500</v>
      </c>
      <c r="C714">
        <f>SUM($B$2:B714)</f>
        <v>500.00000000000023</v>
      </c>
    </row>
    <row r="715" spans="1:3">
      <c r="A715">
        <v>500</v>
      </c>
      <c r="C715">
        <f>SUM($B$2:B715)</f>
        <v>500.00000000000023</v>
      </c>
    </row>
    <row r="716" spans="1:3">
      <c r="A716">
        <v>500</v>
      </c>
      <c r="C716">
        <f>SUM($B$2:B716)</f>
        <v>500.00000000000023</v>
      </c>
    </row>
    <row r="717" spans="1:3">
      <c r="A717">
        <v>500</v>
      </c>
      <c r="C717">
        <f>SUM($B$2:B717)</f>
        <v>500.00000000000023</v>
      </c>
    </row>
    <row r="718" spans="1:3">
      <c r="A718">
        <v>500</v>
      </c>
      <c r="C718">
        <f>SUM($B$2:B718)</f>
        <v>500.00000000000023</v>
      </c>
    </row>
    <row r="719" spans="1:3">
      <c r="A719">
        <v>500</v>
      </c>
      <c r="C719">
        <f>SUM($B$2:B719)</f>
        <v>500.00000000000023</v>
      </c>
    </row>
    <row r="720" spans="1:3">
      <c r="A720">
        <v>500</v>
      </c>
      <c r="C720">
        <f>SUM($B$2:B720)</f>
        <v>500.00000000000023</v>
      </c>
    </row>
    <row r="721" spans="1:3">
      <c r="A721">
        <v>500</v>
      </c>
      <c r="C721">
        <f>SUM($B$2:B721)</f>
        <v>500.00000000000023</v>
      </c>
    </row>
    <row r="722" spans="1:3">
      <c r="A722">
        <v>500</v>
      </c>
      <c r="C722">
        <f>SUM($B$2:B722)</f>
        <v>500.00000000000023</v>
      </c>
    </row>
    <row r="723" spans="1:3">
      <c r="A723">
        <v>500</v>
      </c>
      <c r="C723">
        <f>SUM($B$2:B723)</f>
        <v>500.00000000000023</v>
      </c>
    </row>
    <row r="724" spans="1:3">
      <c r="A724">
        <v>500</v>
      </c>
      <c r="C724">
        <f>SUM($B$2:B724)</f>
        <v>500.00000000000023</v>
      </c>
    </row>
    <row r="725" spans="1:3">
      <c r="A725">
        <v>500</v>
      </c>
      <c r="C725">
        <f>SUM($B$2:B725)</f>
        <v>500.00000000000023</v>
      </c>
    </row>
    <row r="726" spans="1:3">
      <c r="A726">
        <v>500</v>
      </c>
      <c r="C726">
        <f>SUM($B$2:B726)</f>
        <v>500.00000000000023</v>
      </c>
    </row>
    <row r="727" spans="1:3">
      <c r="A727">
        <v>500</v>
      </c>
      <c r="C727">
        <f>SUM($B$2:B727)</f>
        <v>500.00000000000023</v>
      </c>
    </row>
    <row r="728" spans="1:3">
      <c r="A728">
        <v>500</v>
      </c>
      <c r="C728">
        <f>SUM($B$2:B728)</f>
        <v>500.00000000000023</v>
      </c>
    </row>
    <row r="729" spans="1:3">
      <c r="A729">
        <v>500</v>
      </c>
      <c r="C729">
        <f>SUM($B$2:B729)</f>
        <v>500.00000000000023</v>
      </c>
    </row>
    <row r="730" spans="1:3">
      <c r="A730">
        <v>500</v>
      </c>
      <c r="C730">
        <f>SUM($B$2:B730)</f>
        <v>500.00000000000023</v>
      </c>
    </row>
    <row r="731" spans="1:3">
      <c r="A731">
        <v>500</v>
      </c>
      <c r="C731">
        <f>SUM($B$2:B731)</f>
        <v>500.00000000000023</v>
      </c>
    </row>
    <row r="732" spans="1:3">
      <c r="A732">
        <v>500</v>
      </c>
      <c r="C732">
        <f>SUM($B$2:B732)</f>
        <v>500.00000000000023</v>
      </c>
    </row>
    <row r="733" spans="1:3">
      <c r="A733">
        <v>500</v>
      </c>
      <c r="C733">
        <f>SUM($B$2:B733)</f>
        <v>500.00000000000023</v>
      </c>
    </row>
    <row r="734" spans="1:3">
      <c r="A734">
        <v>500</v>
      </c>
      <c r="C734">
        <f>SUM($B$2:B734)</f>
        <v>500.00000000000023</v>
      </c>
    </row>
    <row r="735" spans="1:3">
      <c r="A735">
        <v>500</v>
      </c>
      <c r="C735">
        <f>SUM($B$2:B735)</f>
        <v>500.00000000000023</v>
      </c>
    </row>
    <row r="736" spans="1:3">
      <c r="A736">
        <v>500</v>
      </c>
      <c r="C736">
        <f>SUM($B$2:B736)</f>
        <v>500.00000000000023</v>
      </c>
    </row>
    <row r="737" spans="1:3">
      <c r="A737">
        <v>500</v>
      </c>
      <c r="C737">
        <f>SUM($B$2:B737)</f>
        <v>500.00000000000023</v>
      </c>
    </row>
    <row r="738" spans="1:3">
      <c r="A738">
        <v>500</v>
      </c>
      <c r="C738">
        <f>SUM($B$2:B738)</f>
        <v>500.00000000000023</v>
      </c>
    </row>
    <row r="739" spans="1:3">
      <c r="A739">
        <v>500</v>
      </c>
      <c r="C739">
        <f>SUM($B$2:B739)</f>
        <v>500.00000000000023</v>
      </c>
    </row>
    <row r="740" spans="1:3">
      <c r="A740">
        <v>500</v>
      </c>
      <c r="C740">
        <f>SUM($B$2:B740)</f>
        <v>500.00000000000023</v>
      </c>
    </row>
    <row r="741" spans="1:3">
      <c r="A741">
        <v>500</v>
      </c>
      <c r="C741">
        <f>SUM($B$2:B741)</f>
        <v>500.00000000000023</v>
      </c>
    </row>
    <row r="742" spans="1:3">
      <c r="A742">
        <v>500</v>
      </c>
      <c r="C742">
        <f>SUM($B$2:B742)</f>
        <v>500.00000000000023</v>
      </c>
    </row>
    <row r="743" spans="1:3">
      <c r="A743">
        <v>500</v>
      </c>
      <c r="C743">
        <f>SUM($B$2:B743)</f>
        <v>500.00000000000023</v>
      </c>
    </row>
    <row r="744" spans="1:3">
      <c r="A744">
        <v>500</v>
      </c>
      <c r="C744">
        <f>SUM($B$2:B744)</f>
        <v>500.00000000000023</v>
      </c>
    </row>
    <row r="745" spans="1:3">
      <c r="A745">
        <v>500</v>
      </c>
      <c r="C745">
        <f>SUM($B$2:B745)</f>
        <v>500.00000000000023</v>
      </c>
    </row>
    <row r="746" spans="1:3">
      <c r="A746">
        <v>500</v>
      </c>
      <c r="C746">
        <f>SUM($B$2:B746)</f>
        <v>500.00000000000023</v>
      </c>
    </row>
    <row r="747" spans="1:3">
      <c r="A747">
        <v>500</v>
      </c>
      <c r="C747">
        <f>SUM($B$2:B747)</f>
        <v>500.00000000000023</v>
      </c>
    </row>
    <row r="748" spans="1:3">
      <c r="A748">
        <v>500</v>
      </c>
      <c r="C748">
        <f>SUM($B$2:B748)</f>
        <v>500.00000000000023</v>
      </c>
    </row>
    <row r="749" spans="1:3">
      <c r="A749">
        <v>500</v>
      </c>
      <c r="C749">
        <f>SUM($B$2:B749)</f>
        <v>500.00000000000023</v>
      </c>
    </row>
    <row r="750" spans="1:3">
      <c r="A750">
        <v>500</v>
      </c>
      <c r="C750">
        <f>SUM($B$2:B750)</f>
        <v>500.00000000000023</v>
      </c>
    </row>
    <row r="751" spans="1:3">
      <c r="A751">
        <v>500</v>
      </c>
      <c r="C751">
        <f>SUM($B$2:B751)</f>
        <v>500.00000000000023</v>
      </c>
    </row>
    <row r="752" spans="1:3">
      <c r="A752">
        <v>500</v>
      </c>
      <c r="C752">
        <f>SUM($B$2:B752)</f>
        <v>500.00000000000023</v>
      </c>
    </row>
    <row r="753" spans="1:3">
      <c r="A753">
        <v>500</v>
      </c>
      <c r="C753">
        <f>SUM($B$2:B753)</f>
        <v>500.00000000000023</v>
      </c>
    </row>
    <row r="754" spans="1:3">
      <c r="A754">
        <v>500</v>
      </c>
      <c r="C754">
        <f>SUM($B$2:B754)</f>
        <v>500.00000000000023</v>
      </c>
    </row>
    <row r="755" spans="1:3">
      <c r="A755">
        <v>500</v>
      </c>
      <c r="C755">
        <f>SUM($B$2:B755)</f>
        <v>500.00000000000023</v>
      </c>
    </row>
    <row r="756" spans="1:3">
      <c r="A756">
        <v>500</v>
      </c>
      <c r="C756">
        <f>SUM($B$2:B756)</f>
        <v>500.00000000000023</v>
      </c>
    </row>
    <row r="757" spans="1:3">
      <c r="A757">
        <v>500</v>
      </c>
      <c r="C757">
        <f>SUM($B$2:B757)</f>
        <v>500.00000000000023</v>
      </c>
    </row>
    <row r="758" spans="1:3">
      <c r="A758">
        <v>500</v>
      </c>
      <c r="C758">
        <f>SUM($B$2:B758)</f>
        <v>500.00000000000023</v>
      </c>
    </row>
    <row r="759" spans="1:3">
      <c r="A759">
        <v>500</v>
      </c>
      <c r="C759">
        <f>SUM($B$2:B759)</f>
        <v>500.00000000000023</v>
      </c>
    </row>
    <row r="760" spans="1:3">
      <c r="A760">
        <v>500</v>
      </c>
      <c r="C760">
        <f>SUM($B$2:B760)</f>
        <v>500.00000000000023</v>
      </c>
    </row>
    <row r="761" spans="1:3">
      <c r="A761">
        <v>500</v>
      </c>
      <c r="C761">
        <f>SUM($B$2:B761)</f>
        <v>500.00000000000023</v>
      </c>
    </row>
    <row r="762" spans="1:3">
      <c r="A762">
        <v>500</v>
      </c>
      <c r="C762">
        <f>SUM($B$2:B762)</f>
        <v>500.00000000000023</v>
      </c>
    </row>
    <row r="763" spans="1:3">
      <c r="A763">
        <v>500</v>
      </c>
      <c r="C763">
        <f>SUM($B$2:B763)</f>
        <v>500.00000000000023</v>
      </c>
    </row>
    <row r="764" spans="1:3">
      <c r="A764">
        <v>500</v>
      </c>
      <c r="C764">
        <f>SUM($B$2:B764)</f>
        <v>500.00000000000023</v>
      </c>
    </row>
    <row r="765" spans="1:3">
      <c r="A765">
        <v>500</v>
      </c>
      <c r="C765">
        <f>SUM($B$2:B765)</f>
        <v>500.00000000000023</v>
      </c>
    </row>
    <row r="766" spans="1:3">
      <c r="A766">
        <v>500</v>
      </c>
      <c r="C766">
        <f>SUM($B$2:B766)</f>
        <v>500.00000000000023</v>
      </c>
    </row>
    <row r="767" spans="1:3">
      <c r="A767">
        <v>500</v>
      </c>
      <c r="C767">
        <f>SUM($B$2:B767)</f>
        <v>500.00000000000023</v>
      </c>
    </row>
    <row r="768" spans="1:3">
      <c r="A768">
        <v>500</v>
      </c>
      <c r="C768">
        <f>SUM($B$2:B768)</f>
        <v>500.00000000000023</v>
      </c>
    </row>
    <row r="769" spans="1:3">
      <c r="A769">
        <v>500</v>
      </c>
      <c r="C769">
        <f>SUM($B$2:B769)</f>
        <v>500.00000000000023</v>
      </c>
    </row>
    <row r="770" spans="1:3">
      <c r="A770">
        <v>500</v>
      </c>
      <c r="C770">
        <f>SUM($B$2:B770)</f>
        <v>500.00000000000023</v>
      </c>
    </row>
    <row r="771" spans="1:3">
      <c r="A771">
        <v>500</v>
      </c>
      <c r="C771">
        <f>SUM($B$2:B771)</f>
        <v>500.00000000000023</v>
      </c>
    </row>
    <row r="772" spans="1:3">
      <c r="A772">
        <v>500</v>
      </c>
      <c r="C772">
        <f>SUM($B$2:B772)</f>
        <v>500.00000000000023</v>
      </c>
    </row>
    <row r="773" spans="1:3">
      <c r="A773">
        <v>500</v>
      </c>
      <c r="C773">
        <f>SUM($B$2:B773)</f>
        <v>500.00000000000023</v>
      </c>
    </row>
    <row r="774" spans="1:3">
      <c r="A774">
        <v>500</v>
      </c>
      <c r="C774">
        <f>SUM($B$2:B774)</f>
        <v>500.00000000000023</v>
      </c>
    </row>
    <row r="775" spans="1:3">
      <c r="A775">
        <v>500</v>
      </c>
      <c r="C775">
        <f>SUM($B$2:B775)</f>
        <v>500.00000000000023</v>
      </c>
    </row>
    <row r="776" spans="1:3">
      <c r="A776">
        <v>500</v>
      </c>
      <c r="C776">
        <f>SUM($B$2:B776)</f>
        <v>500.00000000000023</v>
      </c>
    </row>
    <row r="777" spans="1:3">
      <c r="A777">
        <v>500</v>
      </c>
      <c r="C777">
        <f>SUM($B$2:B777)</f>
        <v>500.00000000000023</v>
      </c>
    </row>
    <row r="778" spans="1:3">
      <c r="A778">
        <v>500</v>
      </c>
      <c r="C778">
        <f>SUM($B$2:B778)</f>
        <v>500.00000000000023</v>
      </c>
    </row>
    <row r="779" spans="1:3">
      <c r="A779">
        <v>500</v>
      </c>
      <c r="C779">
        <f>SUM($B$2:B779)</f>
        <v>500.00000000000023</v>
      </c>
    </row>
    <row r="780" spans="1:3">
      <c r="A780">
        <v>500</v>
      </c>
      <c r="C780">
        <f>SUM($B$2:B780)</f>
        <v>500.00000000000023</v>
      </c>
    </row>
    <row r="781" spans="1:3">
      <c r="A781">
        <v>500</v>
      </c>
      <c r="C781">
        <f>SUM($B$2:B781)</f>
        <v>500.00000000000023</v>
      </c>
    </row>
    <row r="782" spans="1:3">
      <c r="A782">
        <v>500</v>
      </c>
      <c r="C782">
        <f>SUM($B$2:B782)</f>
        <v>500.00000000000023</v>
      </c>
    </row>
    <row r="783" spans="1:3">
      <c r="A783">
        <v>500</v>
      </c>
      <c r="C783">
        <f>SUM($B$2:B783)</f>
        <v>500.00000000000023</v>
      </c>
    </row>
    <row r="784" spans="1:3">
      <c r="A784">
        <v>500</v>
      </c>
      <c r="C784">
        <f>SUM($B$2:B784)</f>
        <v>500.00000000000023</v>
      </c>
    </row>
    <row r="785" spans="1:3">
      <c r="A785">
        <v>500</v>
      </c>
      <c r="C785">
        <f>SUM($B$2:B785)</f>
        <v>500.00000000000023</v>
      </c>
    </row>
    <row r="786" spans="1:3">
      <c r="A786">
        <v>500</v>
      </c>
      <c r="C786">
        <f>SUM($B$2:B786)</f>
        <v>500.00000000000023</v>
      </c>
    </row>
    <row r="787" spans="1:3">
      <c r="A787">
        <v>500</v>
      </c>
      <c r="C787">
        <f>SUM($B$2:B787)</f>
        <v>500.00000000000023</v>
      </c>
    </row>
    <row r="788" spans="1:3">
      <c r="A788">
        <v>500</v>
      </c>
      <c r="C788">
        <f>SUM($B$2:B788)</f>
        <v>500.00000000000023</v>
      </c>
    </row>
    <row r="789" spans="1:3">
      <c r="A789">
        <v>500</v>
      </c>
      <c r="C789">
        <f>SUM($B$2:B789)</f>
        <v>500.00000000000023</v>
      </c>
    </row>
    <row r="790" spans="1:3">
      <c r="A790">
        <v>500</v>
      </c>
      <c r="C790">
        <f>SUM($B$2:B790)</f>
        <v>500.00000000000023</v>
      </c>
    </row>
    <row r="791" spans="1:3">
      <c r="A791">
        <v>500</v>
      </c>
      <c r="C791">
        <f>SUM($B$2:B791)</f>
        <v>500.00000000000023</v>
      </c>
    </row>
    <row r="792" spans="1:3">
      <c r="A792">
        <v>500</v>
      </c>
      <c r="C792">
        <f>SUM($B$2:B792)</f>
        <v>500.00000000000023</v>
      </c>
    </row>
    <row r="793" spans="1:3">
      <c r="A793">
        <v>500</v>
      </c>
      <c r="C793">
        <f>SUM($B$2:B793)</f>
        <v>500.00000000000023</v>
      </c>
    </row>
    <row r="794" spans="1:3">
      <c r="A794">
        <v>500</v>
      </c>
      <c r="C794">
        <f>SUM($B$2:B794)</f>
        <v>500.00000000000023</v>
      </c>
    </row>
    <row r="795" spans="1:3">
      <c r="A795">
        <v>500</v>
      </c>
      <c r="C795">
        <f>SUM($B$2:B795)</f>
        <v>500.00000000000023</v>
      </c>
    </row>
    <row r="796" spans="1:3">
      <c r="A796">
        <v>500</v>
      </c>
      <c r="C796">
        <f>SUM($B$2:B796)</f>
        <v>500.00000000000023</v>
      </c>
    </row>
    <row r="797" spans="1:3">
      <c r="A797">
        <v>500</v>
      </c>
      <c r="C797">
        <f>SUM($B$2:B797)</f>
        <v>500.00000000000023</v>
      </c>
    </row>
    <row r="798" spans="1:3">
      <c r="A798">
        <v>500</v>
      </c>
      <c r="C798">
        <f>SUM($B$2:B798)</f>
        <v>500.00000000000023</v>
      </c>
    </row>
    <row r="799" spans="1:3">
      <c r="A799">
        <v>500</v>
      </c>
      <c r="C799">
        <f>SUM($B$2:B799)</f>
        <v>500.00000000000023</v>
      </c>
    </row>
    <row r="800" spans="1:3">
      <c r="A800">
        <v>500</v>
      </c>
      <c r="C800">
        <f>SUM($B$2:B800)</f>
        <v>500.00000000000023</v>
      </c>
    </row>
    <row r="801" spans="1:3">
      <c r="A801">
        <v>500</v>
      </c>
      <c r="C801">
        <f>SUM($B$2:B801)</f>
        <v>500.00000000000023</v>
      </c>
    </row>
    <row r="802" spans="1:3">
      <c r="A802">
        <v>500</v>
      </c>
      <c r="C802">
        <f>SUM($B$2:B802)</f>
        <v>500.00000000000023</v>
      </c>
    </row>
    <row r="803" spans="1:3">
      <c r="A803">
        <v>500</v>
      </c>
      <c r="C803">
        <f>SUM($B$2:B803)</f>
        <v>500.00000000000023</v>
      </c>
    </row>
    <row r="804" spans="1:3">
      <c r="A804">
        <v>500</v>
      </c>
      <c r="C804">
        <f>SUM($B$2:B804)</f>
        <v>500.00000000000023</v>
      </c>
    </row>
    <row r="805" spans="1:3">
      <c r="A805">
        <v>500</v>
      </c>
      <c r="C805">
        <f>SUM($B$2:B805)</f>
        <v>500.00000000000023</v>
      </c>
    </row>
    <row r="806" spans="1:3">
      <c r="A806">
        <v>500</v>
      </c>
      <c r="C806">
        <f>SUM($B$2:B806)</f>
        <v>500.00000000000023</v>
      </c>
    </row>
    <row r="807" spans="1:3">
      <c r="A807">
        <v>500</v>
      </c>
      <c r="C807">
        <f>SUM($B$2:B807)</f>
        <v>500.00000000000023</v>
      </c>
    </row>
    <row r="808" spans="1:3">
      <c r="A808">
        <v>500</v>
      </c>
      <c r="C808">
        <f>SUM($B$2:B808)</f>
        <v>500.00000000000023</v>
      </c>
    </row>
    <row r="809" spans="1:3">
      <c r="A809">
        <v>500</v>
      </c>
      <c r="C809">
        <f>SUM($B$2:B809)</f>
        <v>500.00000000000023</v>
      </c>
    </row>
    <row r="810" spans="1:3">
      <c r="A810">
        <v>500</v>
      </c>
      <c r="C810">
        <f>SUM($B$2:B810)</f>
        <v>500.00000000000023</v>
      </c>
    </row>
    <row r="811" spans="1:3">
      <c r="A811">
        <v>500</v>
      </c>
      <c r="C811">
        <f>SUM($B$2:B811)</f>
        <v>500.00000000000023</v>
      </c>
    </row>
    <row r="812" spans="1:3">
      <c r="A812">
        <v>500</v>
      </c>
      <c r="C812">
        <f>SUM($B$2:B812)</f>
        <v>500.00000000000023</v>
      </c>
    </row>
    <row r="813" spans="1:3">
      <c r="A813">
        <v>500</v>
      </c>
      <c r="C813">
        <f>SUM($B$2:B813)</f>
        <v>500.00000000000023</v>
      </c>
    </row>
    <row r="814" spans="1:3">
      <c r="A814">
        <v>500</v>
      </c>
      <c r="C814">
        <f>SUM($B$2:B814)</f>
        <v>500.00000000000023</v>
      </c>
    </row>
    <row r="815" spans="1:3">
      <c r="A815">
        <v>500</v>
      </c>
      <c r="C815">
        <f>SUM($B$2:B815)</f>
        <v>500.00000000000023</v>
      </c>
    </row>
    <row r="816" spans="1:3">
      <c r="A816">
        <v>500</v>
      </c>
      <c r="C816">
        <f>SUM($B$2:B816)</f>
        <v>500.00000000000023</v>
      </c>
    </row>
    <row r="817" spans="1:3">
      <c r="A817">
        <v>500</v>
      </c>
      <c r="C817">
        <f>SUM($B$2:B817)</f>
        <v>500.00000000000023</v>
      </c>
    </row>
    <row r="818" spans="1:3">
      <c r="A818">
        <v>500</v>
      </c>
      <c r="C818">
        <f>SUM($B$2:B818)</f>
        <v>500.00000000000023</v>
      </c>
    </row>
    <row r="819" spans="1:3">
      <c r="A819">
        <v>500</v>
      </c>
      <c r="C819">
        <f>SUM($B$2:B819)</f>
        <v>500.00000000000023</v>
      </c>
    </row>
    <row r="820" spans="1:3">
      <c r="A820">
        <v>500</v>
      </c>
      <c r="C820">
        <f>SUM($B$2:B820)</f>
        <v>500.00000000000023</v>
      </c>
    </row>
    <row r="821" spans="1:3">
      <c r="A821">
        <v>500</v>
      </c>
      <c r="C821">
        <f>SUM($B$2:B821)</f>
        <v>500.00000000000023</v>
      </c>
    </row>
    <row r="822" spans="1:3">
      <c r="A822">
        <v>500</v>
      </c>
      <c r="C822">
        <f>SUM($B$2:B822)</f>
        <v>500.00000000000023</v>
      </c>
    </row>
    <row r="823" spans="1:3">
      <c r="A823">
        <v>500</v>
      </c>
      <c r="C823">
        <f>SUM($B$2:B823)</f>
        <v>500.00000000000023</v>
      </c>
    </row>
    <row r="824" spans="1:3">
      <c r="A824">
        <v>500</v>
      </c>
      <c r="C824">
        <f>SUM($B$2:B824)</f>
        <v>500.00000000000023</v>
      </c>
    </row>
    <row r="825" spans="1:3">
      <c r="A825">
        <v>500</v>
      </c>
      <c r="C825">
        <f>SUM($B$2:B825)</f>
        <v>500.00000000000023</v>
      </c>
    </row>
    <row r="826" spans="1:3">
      <c r="A826">
        <v>500</v>
      </c>
      <c r="C826">
        <f>SUM($B$2:B826)</f>
        <v>500.00000000000023</v>
      </c>
    </row>
    <row r="827" spans="1:3">
      <c r="A827">
        <v>500</v>
      </c>
      <c r="C827">
        <f>SUM($B$2:B827)</f>
        <v>500.00000000000023</v>
      </c>
    </row>
    <row r="828" spans="1:3">
      <c r="A828">
        <v>500</v>
      </c>
      <c r="C828">
        <f>SUM($B$2:B828)</f>
        <v>500.00000000000023</v>
      </c>
    </row>
    <row r="829" spans="1:3">
      <c r="A829">
        <v>500</v>
      </c>
      <c r="C829">
        <f>SUM($B$2:B829)</f>
        <v>500.00000000000023</v>
      </c>
    </row>
    <row r="830" spans="1:3">
      <c r="A830">
        <v>500</v>
      </c>
      <c r="C830">
        <f>SUM($B$2:B830)</f>
        <v>500.00000000000023</v>
      </c>
    </row>
    <row r="831" spans="1:3">
      <c r="A831">
        <v>500</v>
      </c>
      <c r="C831">
        <f>SUM($B$2:B831)</f>
        <v>500.00000000000023</v>
      </c>
    </row>
    <row r="832" spans="1:3">
      <c r="A832">
        <v>500</v>
      </c>
      <c r="C832">
        <f>SUM($B$2:B832)</f>
        <v>500.00000000000023</v>
      </c>
    </row>
    <row r="833" spans="1:3">
      <c r="A833">
        <v>500</v>
      </c>
      <c r="C833">
        <f>SUM($B$2:B833)</f>
        <v>500.00000000000023</v>
      </c>
    </row>
    <row r="834" spans="1:3">
      <c r="A834">
        <v>500</v>
      </c>
      <c r="C834">
        <f>SUM($B$2:B834)</f>
        <v>500.00000000000023</v>
      </c>
    </row>
    <row r="835" spans="1:3">
      <c r="A835">
        <v>500</v>
      </c>
      <c r="C835">
        <f>SUM($B$2:B835)</f>
        <v>500.00000000000023</v>
      </c>
    </row>
    <row r="836" spans="1:3">
      <c r="A836">
        <v>500</v>
      </c>
      <c r="C836">
        <f>SUM($B$2:B836)</f>
        <v>500.00000000000023</v>
      </c>
    </row>
    <row r="837" spans="1:3">
      <c r="A837">
        <v>500</v>
      </c>
      <c r="C837">
        <f>SUM($B$2:B837)</f>
        <v>500.00000000000023</v>
      </c>
    </row>
    <row r="838" spans="1:3">
      <c r="A838">
        <v>500</v>
      </c>
      <c r="C838">
        <f>SUM($B$2:B838)</f>
        <v>500.00000000000023</v>
      </c>
    </row>
    <row r="839" spans="1:3">
      <c r="A839">
        <v>500</v>
      </c>
      <c r="C839">
        <f>SUM($B$2:B839)</f>
        <v>500.00000000000023</v>
      </c>
    </row>
    <row r="840" spans="1:3">
      <c r="A840">
        <v>500</v>
      </c>
      <c r="C840">
        <f>SUM($B$2:B840)</f>
        <v>500.00000000000023</v>
      </c>
    </row>
    <row r="841" spans="1:3">
      <c r="A841">
        <v>500</v>
      </c>
      <c r="C841">
        <f>SUM($B$2:B841)</f>
        <v>500.00000000000023</v>
      </c>
    </row>
    <row r="842" spans="1:3">
      <c r="A842">
        <v>500</v>
      </c>
      <c r="C842">
        <f>SUM($B$2:B842)</f>
        <v>500.00000000000023</v>
      </c>
    </row>
    <row r="843" spans="1:3">
      <c r="A843">
        <v>500</v>
      </c>
      <c r="C843">
        <f>SUM($B$2:B843)</f>
        <v>500.00000000000023</v>
      </c>
    </row>
    <row r="844" spans="1:3">
      <c r="A844">
        <v>500</v>
      </c>
      <c r="C844">
        <f>SUM($B$2:B844)</f>
        <v>500.00000000000023</v>
      </c>
    </row>
    <row r="845" spans="1:3">
      <c r="A845">
        <v>500</v>
      </c>
      <c r="C845">
        <f>SUM($B$2:B845)</f>
        <v>500.00000000000023</v>
      </c>
    </row>
    <row r="846" spans="1:3">
      <c r="A846">
        <v>500</v>
      </c>
      <c r="C846">
        <f>SUM($B$2:B846)</f>
        <v>500.00000000000023</v>
      </c>
    </row>
    <row r="847" spans="1:3">
      <c r="A847">
        <v>500</v>
      </c>
      <c r="C847">
        <f>SUM($B$2:B847)</f>
        <v>500.00000000000023</v>
      </c>
    </row>
    <row r="848" spans="1:3">
      <c r="A848">
        <v>500</v>
      </c>
      <c r="C848">
        <f>SUM($B$2:B848)</f>
        <v>500.00000000000023</v>
      </c>
    </row>
    <row r="849" spans="1:3">
      <c r="A849">
        <v>500</v>
      </c>
      <c r="C849">
        <f>SUM($B$2:B849)</f>
        <v>500.00000000000023</v>
      </c>
    </row>
    <row r="850" spans="1:3">
      <c r="A850">
        <v>500</v>
      </c>
      <c r="C850">
        <f>SUM($B$2:B850)</f>
        <v>500.00000000000023</v>
      </c>
    </row>
    <row r="851" spans="1:3">
      <c r="A851">
        <v>500</v>
      </c>
      <c r="C851">
        <f>SUM($B$2:B851)</f>
        <v>500.00000000000023</v>
      </c>
    </row>
    <row r="852" spans="1:3">
      <c r="A852">
        <v>500</v>
      </c>
      <c r="C852">
        <f>SUM($B$2:B852)</f>
        <v>500.00000000000023</v>
      </c>
    </row>
    <row r="853" spans="1:3">
      <c r="A853">
        <v>500</v>
      </c>
      <c r="C853">
        <f>SUM($B$2:B853)</f>
        <v>500.00000000000023</v>
      </c>
    </row>
    <row r="854" spans="1:3">
      <c r="A854">
        <v>500</v>
      </c>
      <c r="C854">
        <f>SUM($B$2:B854)</f>
        <v>500.00000000000023</v>
      </c>
    </row>
    <row r="855" spans="1:3">
      <c r="A855">
        <v>500</v>
      </c>
      <c r="C855">
        <f>SUM($B$2:B855)</f>
        <v>500.00000000000023</v>
      </c>
    </row>
    <row r="856" spans="1:3">
      <c r="A856">
        <v>500</v>
      </c>
      <c r="C856">
        <f>SUM($B$2:B856)</f>
        <v>500.00000000000023</v>
      </c>
    </row>
    <row r="857" spans="1:3">
      <c r="A857">
        <v>500</v>
      </c>
      <c r="C857">
        <f>SUM($B$2:B857)</f>
        <v>500.00000000000023</v>
      </c>
    </row>
    <row r="858" spans="1:3">
      <c r="A858">
        <v>500</v>
      </c>
      <c r="C858">
        <f>SUM($B$2:B858)</f>
        <v>500.00000000000023</v>
      </c>
    </row>
    <row r="859" spans="1:3">
      <c r="A859">
        <v>500</v>
      </c>
      <c r="C859">
        <f>SUM($B$2:B859)</f>
        <v>500.00000000000023</v>
      </c>
    </row>
    <row r="860" spans="1:3">
      <c r="A860">
        <v>500</v>
      </c>
      <c r="C860">
        <f>SUM($B$2:B860)</f>
        <v>500.00000000000023</v>
      </c>
    </row>
    <row r="861" spans="1:3">
      <c r="A861">
        <v>500</v>
      </c>
      <c r="C861">
        <f>SUM($B$2:B861)</f>
        <v>500.00000000000023</v>
      </c>
    </row>
    <row r="862" spans="1:3">
      <c r="A862">
        <v>500</v>
      </c>
      <c r="C862">
        <f>SUM($B$2:B862)</f>
        <v>500.00000000000023</v>
      </c>
    </row>
    <row r="863" spans="1:3">
      <c r="A863">
        <v>500</v>
      </c>
      <c r="C863">
        <f>SUM($B$2:B863)</f>
        <v>500.00000000000023</v>
      </c>
    </row>
    <row r="864" spans="1:3">
      <c r="A864">
        <v>500</v>
      </c>
      <c r="C864">
        <f>SUM($B$2:B864)</f>
        <v>500.00000000000023</v>
      </c>
    </row>
    <row r="865" spans="1:3">
      <c r="A865">
        <v>500</v>
      </c>
      <c r="C865">
        <f>SUM($B$2:B865)</f>
        <v>500.00000000000023</v>
      </c>
    </row>
    <row r="866" spans="1:3">
      <c r="A866">
        <v>500</v>
      </c>
      <c r="C866">
        <f>SUM($B$2:B866)</f>
        <v>500.00000000000023</v>
      </c>
    </row>
    <row r="867" spans="1:3">
      <c r="A867">
        <v>500</v>
      </c>
      <c r="C867">
        <f>SUM($B$2:B867)</f>
        <v>500.00000000000023</v>
      </c>
    </row>
    <row r="868" spans="1:3">
      <c r="A868">
        <v>500</v>
      </c>
      <c r="C868">
        <f>SUM($B$2:B868)</f>
        <v>500.00000000000023</v>
      </c>
    </row>
    <row r="869" spans="1:3">
      <c r="A869">
        <v>500</v>
      </c>
      <c r="C869">
        <f>SUM($B$2:B869)</f>
        <v>500.00000000000023</v>
      </c>
    </row>
    <row r="870" spans="1:3">
      <c r="A870">
        <v>500</v>
      </c>
      <c r="C870">
        <f>SUM($B$2:B870)</f>
        <v>500.00000000000023</v>
      </c>
    </row>
    <row r="871" spans="1:3">
      <c r="A871">
        <v>500</v>
      </c>
      <c r="C871">
        <f>SUM($B$2:B871)</f>
        <v>500.00000000000023</v>
      </c>
    </row>
    <row r="872" spans="1:3">
      <c r="A872">
        <v>500</v>
      </c>
      <c r="C872">
        <f>SUM($B$2:B872)</f>
        <v>500.00000000000023</v>
      </c>
    </row>
    <row r="873" spans="1:3">
      <c r="A873">
        <v>500</v>
      </c>
      <c r="C873">
        <f>SUM($B$2:B873)</f>
        <v>500.00000000000023</v>
      </c>
    </row>
    <row r="874" spans="1:3">
      <c r="A874">
        <v>500</v>
      </c>
      <c r="C874">
        <f>SUM($B$2:B874)</f>
        <v>500.00000000000023</v>
      </c>
    </row>
    <row r="875" spans="1:3">
      <c r="A875">
        <v>500</v>
      </c>
      <c r="C875">
        <f>SUM($B$2:B875)</f>
        <v>500.00000000000023</v>
      </c>
    </row>
    <row r="876" spans="1:3">
      <c r="A876">
        <v>500</v>
      </c>
      <c r="C876">
        <f>SUM($B$2:B876)</f>
        <v>500.00000000000023</v>
      </c>
    </row>
    <row r="877" spans="1:3">
      <c r="A877">
        <v>500</v>
      </c>
      <c r="C877">
        <f>SUM($B$2:B877)</f>
        <v>500.00000000000023</v>
      </c>
    </row>
    <row r="878" spans="1:3">
      <c r="A878">
        <v>500</v>
      </c>
      <c r="C878">
        <f>SUM($B$2:B878)</f>
        <v>500.00000000000023</v>
      </c>
    </row>
    <row r="879" spans="1:3">
      <c r="A879">
        <v>500</v>
      </c>
      <c r="C879">
        <f>SUM($B$2:B879)</f>
        <v>500.00000000000023</v>
      </c>
    </row>
    <row r="880" spans="1:3">
      <c r="A880">
        <v>500</v>
      </c>
      <c r="C880">
        <f>SUM($B$2:B880)</f>
        <v>500.00000000000023</v>
      </c>
    </row>
    <row r="881" spans="1:3">
      <c r="A881">
        <v>500</v>
      </c>
      <c r="C881">
        <f>SUM($B$2:B881)</f>
        <v>500.00000000000023</v>
      </c>
    </row>
    <row r="882" spans="1:3">
      <c r="A882">
        <v>500</v>
      </c>
      <c r="C882">
        <f>SUM($B$2:B882)</f>
        <v>500.00000000000023</v>
      </c>
    </row>
    <row r="883" spans="1:3">
      <c r="A883">
        <v>500</v>
      </c>
      <c r="C883">
        <f>SUM($B$2:B883)</f>
        <v>500.00000000000023</v>
      </c>
    </row>
    <row r="884" spans="1:3">
      <c r="A884">
        <v>500</v>
      </c>
      <c r="C884">
        <f>SUM($B$2:B884)</f>
        <v>500.00000000000023</v>
      </c>
    </row>
    <row r="885" spans="1:3">
      <c r="A885">
        <v>500</v>
      </c>
      <c r="C885">
        <f>SUM($B$2:B885)</f>
        <v>500.00000000000023</v>
      </c>
    </row>
    <row r="886" spans="1:3">
      <c r="A886">
        <v>500</v>
      </c>
      <c r="C886">
        <f>SUM($B$2:B886)</f>
        <v>500.00000000000023</v>
      </c>
    </row>
    <row r="887" spans="1:3">
      <c r="A887">
        <v>500</v>
      </c>
      <c r="C887">
        <f>SUM($B$2:B887)</f>
        <v>500.00000000000023</v>
      </c>
    </row>
    <row r="888" spans="1:3">
      <c r="A888">
        <v>500</v>
      </c>
      <c r="C888">
        <f>SUM($B$2:B888)</f>
        <v>500.00000000000023</v>
      </c>
    </row>
    <row r="889" spans="1:3">
      <c r="A889">
        <v>500</v>
      </c>
      <c r="C889">
        <f>SUM($B$2:B889)</f>
        <v>500.00000000000023</v>
      </c>
    </row>
    <row r="890" spans="1:3">
      <c r="A890">
        <v>500</v>
      </c>
      <c r="C890">
        <f>SUM($B$2:B890)</f>
        <v>500.00000000000023</v>
      </c>
    </row>
    <row r="891" spans="1:3">
      <c r="A891">
        <v>500</v>
      </c>
      <c r="C891">
        <f>SUM($B$2:B891)</f>
        <v>500.00000000000023</v>
      </c>
    </row>
    <row r="892" spans="1:3">
      <c r="A892">
        <v>500</v>
      </c>
      <c r="C892">
        <f>SUM($B$2:B892)</f>
        <v>500.00000000000023</v>
      </c>
    </row>
    <row r="893" spans="1:3">
      <c r="A893">
        <v>500</v>
      </c>
      <c r="C893">
        <f>SUM($B$2:B893)</f>
        <v>500.00000000000023</v>
      </c>
    </row>
    <row r="894" spans="1:3">
      <c r="A894">
        <v>500</v>
      </c>
      <c r="C894">
        <f>SUM($B$2:B894)</f>
        <v>500.00000000000023</v>
      </c>
    </row>
    <row r="895" spans="1:3">
      <c r="A895">
        <v>500</v>
      </c>
      <c r="C895">
        <f>SUM($B$2:B895)</f>
        <v>500.00000000000023</v>
      </c>
    </row>
    <row r="896" spans="1:3">
      <c r="A896">
        <v>500</v>
      </c>
      <c r="C896">
        <f>SUM($B$2:B896)</f>
        <v>500.00000000000023</v>
      </c>
    </row>
    <row r="897" spans="1:3">
      <c r="A897">
        <v>500</v>
      </c>
      <c r="C897">
        <f>SUM($B$2:B897)</f>
        <v>500.00000000000023</v>
      </c>
    </row>
    <row r="898" spans="1:3">
      <c r="A898">
        <v>500</v>
      </c>
      <c r="C898">
        <f>SUM($B$2:B898)</f>
        <v>500.00000000000023</v>
      </c>
    </row>
    <row r="899" spans="1:3">
      <c r="A899">
        <v>500</v>
      </c>
      <c r="C899">
        <f>SUM($B$2:B899)</f>
        <v>500.00000000000023</v>
      </c>
    </row>
    <row r="900" spans="1:3">
      <c r="A900">
        <v>500</v>
      </c>
      <c r="C900">
        <f>SUM($B$2:B900)</f>
        <v>500.00000000000023</v>
      </c>
    </row>
    <row r="901" spans="1:3">
      <c r="A901">
        <v>500</v>
      </c>
      <c r="C901">
        <f>SUM($B$2:B901)</f>
        <v>500.00000000000023</v>
      </c>
    </row>
    <row r="902" spans="1:3">
      <c r="A902">
        <v>500</v>
      </c>
      <c r="C902">
        <f>SUM($B$2:B902)</f>
        <v>500.00000000000023</v>
      </c>
    </row>
    <row r="903" spans="1:3">
      <c r="A903">
        <v>500</v>
      </c>
      <c r="C903">
        <f>SUM($B$2:B903)</f>
        <v>500.00000000000023</v>
      </c>
    </row>
    <row r="904" spans="1:3">
      <c r="A904">
        <v>500</v>
      </c>
      <c r="C904">
        <f>SUM($B$2:B904)</f>
        <v>500.00000000000023</v>
      </c>
    </row>
    <row r="905" spans="1:3">
      <c r="A905">
        <v>500</v>
      </c>
      <c r="C905">
        <f>SUM($B$2:B905)</f>
        <v>500.00000000000023</v>
      </c>
    </row>
    <row r="906" spans="1:3">
      <c r="A906">
        <v>500</v>
      </c>
      <c r="C906">
        <f>SUM($B$2:B906)</f>
        <v>500.00000000000023</v>
      </c>
    </row>
    <row r="907" spans="1:3">
      <c r="A907">
        <v>500</v>
      </c>
      <c r="C907">
        <f>SUM($B$2:B907)</f>
        <v>500.00000000000023</v>
      </c>
    </row>
    <row r="908" spans="1:3">
      <c r="A908">
        <v>500</v>
      </c>
      <c r="C908">
        <f>SUM($B$2:B908)</f>
        <v>500.00000000000023</v>
      </c>
    </row>
    <row r="909" spans="1:3">
      <c r="A909">
        <v>500</v>
      </c>
      <c r="C909">
        <f>SUM($B$2:B909)</f>
        <v>500.00000000000023</v>
      </c>
    </row>
    <row r="910" spans="1:3">
      <c r="A910">
        <v>500</v>
      </c>
      <c r="C910">
        <f>SUM($B$2:B910)</f>
        <v>500.00000000000023</v>
      </c>
    </row>
    <row r="911" spans="1:3">
      <c r="A911">
        <v>500</v>
      </c>
      <c r="C911">
        <f>SUM($B$2:B911)</f>
        <v>500.00000000000023</v>
      </c>
    </row>
    <row r="912" spans="1:3">
      <c r="A912">
        <v>500</v>
      </c>
      <c r="C912">
        <f>SUM($B$2:B912)</f>
        <v>500.00000000000023</v>
      </c>
    </row>
    <row r="913" spans="1:3">
      <c r="A913">
        <v>500</v>
      </c>
      <c r="C913">
        <f>SUM($B$2:B913)</f>
        <v>500.00000000000023</v>
      </c>
    </row>
    <row r="914" spans="1:3">
      <c r="A914">
        <v>500</v>
      </c>
      <c r="C914">
        <f>SUM($B$2:B914)</f>
        <v>500.00000000000023</v>
      </c>
    </row>
    <row r="915" spans="1:3">
      <c r="A915">
        <v>500</v>
      </c>
      <c r="C915">
        <f>SUM($B$2:B915)</f>
        <v>500.00000000000023</v>
      </c>
    </row>
    <row r="916" spans="1:3">
      <c r="A916">
        <v>500</v>
      </c>
      <c r="C916">
        <f>SUM($B$2:B916)</f>
        <v>500.00000000000023</v>
      </c>
    </row>
    <row r="917" spans="1:3">
      <c r="A917">
        <v>500</v>
      </c>
      <c r="C917">
        <f>SUM($B$2:B917)</f>
        <v>500.00000000000023</v>
      </c>
    </row>
    <row r="918" spans="1:3">
      <c r="A918">
        <v>500</v>
      </c>
      <c r="C918">
        <f>SUM($B$2:B918)</f>
        <v>500.00000000000023</v>
      </c>
    </row>
    <row r="919" spans="1:3">
      <c r="A919">
        <v>500</v>
      </c>
      <c r="C919">
        <f>SUM($B$2:B919)</f>
        <v>500.00000000000023</v>
      </c>
    </row>
    <row r="920" spans="1:3">
      <c r="A920">
        <v>500</v>
      </c>
      <c r="C920">
        <f>SUM($B$2:B920)</f>
        <v>500.00000000000023</v>
      </c>
    </row>
    <row r="921" spans="1:3">
      <c r="A921">
        <v>500</v>
      </c>
      <c r="C921">
        <f>SUM($B$2:B921)</f>
        <v>500.00000000000023</v>
      </c>
    </row>
    <row r="922" spans="1:3">
      <c r="A922">
        <v>500</v>
      </c>
      <c r="C922">
        <f>SUM($B$2:B922)</f>
        <v>500.00000000000023</v>
      </c>
    </row>
    <row r="923" spans="1:3">
      <c r="A923">
        <v>500</v>
      </c>
      <c r="C923">
        <f>SUM($B$2:B923)</f>
        <v>500.00000000000023</v>
      </c>
    </row>
    <row r="924" spans="1:3">
      <c r="A924">
        <v>500</v>
      </c>
      <c r="C924">
        <f>SUM($B$2:B924)</f>
        <v>500.00000000000023</v>
      </c>
    </row>
    <row r="925" spans="1:3">
      <c r="A925">
        <v>500</v>
      </c>
      <c r="C925">
        <f>SUM($B$2:B925)</f>
        <v>500.00000000000023</v>
      </c>
    </row>
    <row r="926" spans="1:3">
      <c r="A926">
        <v>500</v>
      </c>
      <c r="C926">
        <f>SUM($B$2:B926)</f>
        <v>500.00000000000023</v>
      </c>
    </row>
    <row r="927" spans="1:3">
      <c r="A927">
        <v>500</v>
      </c>
      <c r="C927">
        <f>SUM($B$2:B927)</f>
        <v>500.00000000000023</v>
      </c>
    </row>
    <row r="928" spans="1:3">
      <c r="A928">
        <v>500</v>
      </c>
      <c r="C928">
        <f>SUM($B$2:B928)</f>
        <v>500.00000000000023</v>
      </c>
    </row>
    <row r="929" spans="1:3">
      <c r="A929">
        <v>500</v>
      </c>
      <c r="C929">
        <f>SUM($B$2:B929)</f>
        <v>500.00000000000023</v>
      </c>
    </row>
    <row r="930" spans="1:3">
      <c r="A930">
        <v>500</v>
      </c>
      <c r="C930">
        <f>SUM($B$2:B930)</f>
        <v>500.00000000000023</v>
      </c>
    </row>
    <row r="931" spans="1:3">
      <c r="A931">
        <v>500</v>
      </c>
      <c r="C931">
        <f>SUM($B$2:B931)</f>
        <v>500.00000000000023</v>
      </c>
    </row>
    <row r="932" spans="1:3">
      <c r="A932">
        <v>500</v>
      </c>
      <c r="C932">
        <f>SUM($B$2:B932)</f>
        <v>500.00000000000023</v>
      </c>
    </row>
    <row r="933" spans="1:3">
      <c r="A933">
        <v>500</v>
      </c>
      <c r="C933">
        <f>SUM($B$2:B933)</f>
        <v>500.00000000000023</v>
      </c>
    </row>
    <row r="934" spans="1:3">
      <c r="A934">
        <v>500</v>
      </c>
      <c r="C934">
        <f>SUM($B$2:B934)</f>
        <v>500.00000000000023</v>
      </c>
    </row>
    <row r="935" spans="1:3">
      <c r="A935">
        <v>500</v>
      </c>
      <c r="C935">
        <f>SUM($B$2:B935)</f>
        <v>500.00000000000023</v>
      </c>
    </row>
    <row r="936" spans="1:3">
      <c r="A936">
        <v>500</v>
      </c>
      <c r="C936">
        <f>SUM($B$2:B936)</f>
        <v>500.00000000000023</v>
      </c>
    </row>
    <row r="937" spans="1:3">
      <c r="A937">
        <v>500</v>
      </c>
      <c r="C937">
        <f>SUM($B$2:B937)</f>
        <v>500.00000000000023</v>
      </c>
    </row>
    <row r="938" spans="1:3">
      <c r="A938">
        <v>500</v>
      </c>
      <c r="C938">
        <f>SUM($B$2:B938)</f>
        <v>500.00000000000023</v>
      </c>
    </row>
    <row r="939" spans="1:3">
      <c r="A939">
        <v>500</v>
      </c>
      <c r="C939">
        <f>SUM($B$2:B939)</f>
        <v>500.00000000000023</v>
      </c>
    </row>
    <row r="940" spans="1:3">
      <c r="A940">
        <v>500</v>
      </c>
      <c r="C940">
        <f>SUM($B$2:B940)</f>
        <v>500.00000000000023</v>
      </c>
    </row>
    <row r="941" spans="1:3">
      <c r="A941">
        <v>500</v>
      </c>
      <c r="C941">
        <f>SUM($B$2:B941)</f>
        <v>500.00000000000023</v>
      </c>
    </row>
    <row r="942" spans="1:3">
      <c r="A942">
        <v>500</v>
      </c>
      <c r="C942">
        <f>SUM($B$2:B942)</f>
        <v>500.00000000000023</v>
      </c>
    </row>
    <row r="943" spans="1:3">
      <c r="A943">
        <v>500</v>
      </c>
      <c r="C943">
        <f>SUM($B$2:B943)</f>
        <v>500.00000000000023</v>
      </c>
    </row>
    <row r="944" spans="1:3">
      <c r="A944">
        <v>500</v>
      </c>
      <c r="C944">
        <f>SUM($B$2:B944)</f>
        <v>500.00000000000023</v>
      </c>
    </row>
    <row r="945" spans="1:3">
      <c r="A945">
        <v>500</v>
      </c>
      <c r="C945">
        <f>SUM($B$2:B945)</f>
        <v>500.00000000000023</v>
      </c>
    </row>
    <row r="946" spans="1:3">
      <c r="A946">
        <v>500</v>
      </c>
      <c r="C946">
        <f>SUM($B$2:B946)</f>
        <v>500.00000000000023</v>
      </c>
    </row>
    <row r="947" spans="1:3">
      <c r="A947">
        <v>500</v>
      </c>
      <c r="C947">
        <f>SUM($B$2:B947)</f>
        <v>500.00000000000023</v>
      </c>
    </row>
    <row r="948" spans="1:3">
      <c r="A948">
        <v>500</v>
      </c>
      <c r="C948">
        <f>SUM($B$2:B948)</f>
        <v>500.00000000000023</v>
      </c>
    </row>
    <row r="949" spans="1:3">
      <c r="A949">
        <v>500</v>
      </c>
      <c r="C949">
        <f>SUM($B$2:B949)</f>
        <v>500.00000000000023</v>
      </c>
    </row>
    <row r="950" spans="1:3">
      <c r="A950">
        <v>500</v>
      </c>
      <c r="C950">
        <f>SUM($B$2:B950)</f>
        <v>500.00000000000023</v>
      </c>
    </row>
    <row r="951" spans="1:3">
      <c r="A951">
        <v>500</v>
      </c>
      <c r="C951">
        <f>SUM($B$2:B951)</f>
        <v>500.00000000000023</v>
      </c>
    </row>
    <row r="952" spans="1:3">
      <c r="A952">
        <v>500</v>
      </c>
      <c r="C952">
        <f>SUM($B$2:B952)</f>
        <v>500.00000000000023</v>
      </c>
    </row>
    <row r="953" spans="1:3">
      <c r="A953">
        <v>500</v>
      </c>
      <c r="C953">
        <f>SUM($B$2:B953)</f>
        <v>500.00000000000023</v>
      </c>
    </row>
    <row r="954" spans="1:3">
      <c r="A954">
        <v>500</v>
      </c>
      <c r="C954">
        <f>SUM($B$2:B954)</f>
        <v>500.00000000000023</v>
      </c>
    </row>
    <row r="955" spans="1:3">
      <c r="A955">
        <v>500</v>
      </c>
      <c r="C955">
        <f>SUM($B$2:B955)</f>
        <v>500.00000000000023</v>
      </c>
    </row>
    <row r="956" spans="1:3">
      <c r="A956">
        <v>500</v>
      </c>
      <c r="C956">
        <f>SUM($B$2:B956)</f>
        <v>500.00000000000023</v>
      </c>
    </row>
    <row r="957" spans="1:3">
      <c r="A957">
        <v>500</v>
      </c>
      <c r="C957">
        <f>SUM($B$2:B957)</f>
        <v>500.00000000000023</v>
      </c>
    </row>
    <row r="958" spans="1:3">
      <c r="A958">
        <v>500</v>
      </c>
      <c r="C958">
        <f>SUM($B$2:B958)</f>
        <v>500.00000000000023</v>
      </c>
    </row>
    <row r="959" spans="1:3">
      <c r="A959">
        <v>500</v>
      </c>
      <c r="C959">
        <f>SUM($B$2:B959)</f>
        <v>500.00000000000023</v>
      </c>
    </row>
    <row r="960" spans="1:3">
      <c r="A960">
        <v>500</v>
      </c>
      <c r="C960">
        <f>SUM($B$2:B960)</f>
        <v>500.00000000000023</v>
      </c>
    </row>
    <row r="961" spans="1:3">
      <c r="A961">
        <v>500</v>
      </c>
      <c r="C961">
        <f>SUM($B$2:B961)</f>
        <v>500.00000000000023</v>
      </c>
    </row>
    <row r="962" spans="1:3">
      <c r="A962">
        <v>500</v>
      </c>
      <c r="C962">
        <f>SUM($B$2:B962)</f>
        <v>500.00000000000023</v>
      </c>
    </row>
    <row r="963" spans="1:3">
      <c r="A963">
        <v>500</v>
      </c>
      <c r="C963">
        <f>SUM($B$2:B963)</f>
        <v>500.00000000000023</v>
      </c>
    </row>
    <row r="964" spans="1:3">
      <c r="A964">
        <v>500</v>
      </c>
      <c r="C964">
        <f>SUM($B$2:B964)</f>
        <v>500.00000000000023</v>
      </c>
    </row>
    <row r="965" spans="1:3">
      <c r="A965">
        <v>500</v>
      </c>
      <c r="C965">
        <f>SUM($B$2:B965)</f>
        <v>500.00000000000023</v>
      </c>
    </row>
    <row r="966" spans="1:3">
      <c r="A966">
        <v>500</v>
      </c>
      <c r="C966">
        <f>SUM($B$2:B966)</f>
        <v>500.00000000000023</v>
      </c>
    </row>
    <row r="967" spans="1:3">
      <c r="A967">
        <v>500</v>
      </c>
      <c r="C967">
        <f>SUM($B$2:B967)</f>
        <v>500.00000000000023</v>
      </c>
    </row>
    <row r="968" spans="1:3">
      <c r="A968">
        <v>500</v>
      </c>
      <c r="C968">
        <f>SUM($B$2:B968)</f>
        <v>500.00000000000023</v>
      </c>
    </row>
    <row r="969" spans="1:3">
      <c r="A969">
        <v>500</v>
      </c>
      <c r="C969">
        <f>SUM($B$2:B969)</f>
        <v>500.00000000000023</v>
      </c>
    </row>
    <row r="970" spans="1:3">
      <c r="A970">
        <v>500</v>
      </c>
      <c r="C970">
        <f>SUM($B$2:B970)</f>
        <v>500.00000000000023</v>
      </c>
    </row>
    <row r="971" spans="1:3">
      <c r="A971">
        <v>500</v>
      </c>
      <c r="C971">
        <f>SUM($B$2:B971)</f>
        <v>500.00000000000023</v>
      </c>
    </row>
    <row r="972" spans="1:3">
      <c r="A972">
        <v>500</v>
      </c>
      <c r="C972">
        <f>SUM($B$2:B972)</f>
        <v>500.00000000000023</v>
      </c>
    </row>
    <row r="973" spans="1:3">
      <c r="A973">
        <v>500</v>
      </c>
      <c r="C973">
        <f>SUM($B$2:B973)</f>
        <v>500.00000000000023</v>
      </c>
    </row>
    <row r="974" spans="1:3">
      <c r="A974">
        <v>500</v>
      </c>
      <c r="C974">
        <f>SUM($B$2:B974)</f>
        <v>500.00000000000023</v>
      </c>
    </row>
    <row r="975" spans="1:3">
      <c r="A975">
        <v>500</v>
      </c>
      <c r="C975">
        <f>SUM($B$2:B975)</f>
        <v>500.00000000000023</v>
      </c>
    </row>
    <row r="976" spans="1:3">
      <c r="A976">
        <v>500</v>
      </c>
      <c r="C976">
        <f>SUM($B$2:B976)</f>
        <v>500.00000000000023</v>
      </c>
    </row>
    <row r="977" spans="1:3">
      <c r="A977">
        <v>500</v>
      </c>
      <c r="C977">
        <f>SUM($B$2:B977)</f>
        <v>500.00000000000023</v>
      </c>
    </row>
    <row r="978" spans="1:3">
      <c r="A978">
        <v>500</v>
      </c>
      <c r="C978">
        <f>SUM($B$2:B978)</f>
        <v>500.00000000000023</v>
      </c>
    </row>
    <row r="979" spans="1:3">
      <c r="A979">
        <v>500</v>
      </c>
      <c r="C979">
        <f>SUM($B$2:B979)</f>
        <v>500.00000000000023</v>
      </c>
    </row>
    <row r="980" spans="1:3">
      <c r="A980">
        <v>500</v>
      </c>
      <c r="C980">
        <f>SUM($B$2:B980)</f>
        <v>500.00000000000023</v>
      </c>
    </row>
    <row r="981" spans="1:3">
      <c r="A981">
        <v>500</v>
      </c>
      <c r="C981">
        <f>SUM($B$2:B981)</f>
        <v>500.00000000000023</v>
      </c>
    </row>
    <row r="982" spans="1:3">
      <c r="A982">
        <v>500</v>
      </c>
      <c r="C982">
        <f>SUM($B$2:B982)</f>
        <v>500.00000000000023</v>
      </c>
    </row>
    <row r="983" spans="1:3">
      <c r="A983">
        <v>500</v>
      </c>
      <c r="C983">
        <f>SUM($B$2:B983)</f>
        <v>500.00000000000023</v>
      </c>
    </row>
    <row r="984" spans="1:3">
      <c r="A984">
        <v>500</v>
      </c>
      <c r="C984">
        <f>SUM($B$2:B984)</f>
        <v>500.00000000000023</v>
      </c>
    </row>
    <row r="985" spans="1:3">
      <c r="A985">
        <v>500</v>
      </c>
      <c r="C985">
        <f>SUM($B$2:B985)</f>
        <v>500.00000000000023</v>
      </c>
    </row>
    <row r="986" spans="1:3">
      <c r="A986">
        <v>500</v>
      </c>
      <c r="C986">
        <f>SUM($B$2:B986)</f>
        <v>500.00000000000023</v>
      </c>
    </row>
    <row r="987" spans="1:3">
      <c r="A987">
        <v>500</v>
      </c>
      <c r="C987">
        <f>SUM($B$2:B987)</f>
        <v>500.00000000000023</v>
      </c>
    </row>
    <row r="988" spans="1:3">
      <c r="A988">
        <v>500</v>
      </c>
      <c r="C988">
        <f>SUM($B$2:B988)</f>
        <v>500.00000000000023</v>
      </c>
    </row>
    <row r="989" spans="1:3">
      <c r="A989">
        <v>500</v>
      </c>
      <c r="C989">
        <f>SUM($B$2:B989)</f>
        <v>500.00000000000023</v>
      </c>
    </row>
    <row r="990" spans="1:3">
      <c r="A990">
        <v>500</v>
      </c>
      <c r="C990">
        <f>SUM($B$2:B990)</f>
        <v>500.00000000000023</v>
      </c>
    </row>
    <row r="991" spans="1:3">
      <c r="A991">
        <v>500</v>
      </c>
      <c r="C991">
        <f>SUM($B$2:B991)</f>
        <v>500.00000000000023</v>
      </c>
    </row>
    <row r="992" spans="1:3">
      <c r="A992">
        <v>500</v>
      </c>
      <c r="C992">
        <f>SUM($B$2:B992)</f>
        <v>500.00000000000023</v>
      </c>
    </row>
    <row r="993" spans="1:3">
      <c r="A993">
        <v>500</v>
      </c>
      <c r="C993">
        <f>SUM($B$2:B993)</f>
        <v>500.00000000000023</v>
      </c>
    </row>
    <row r="994" spans="1:3">
      <c r="A994">
        <v>500</v>
      </c>
      <c r="C994">
        <f>SUM($B$2:B994)</f>
        <v>500.00000000000023</v>
      </c>
    </row>
    <row r="995" spans="1:3">
      <c r="A995">
        <v>500</v>
      </c>
      <c r="C995">
        <f>SUM($B$2:B995)</f>
        <v>500.00000000000023</v>
      </c>
    </row>
    <row r="996" spans="1:3">
      <c r="A996">
        <v>500</v>
      </c>
      <c r="C996">
        <f>SUM($B$2:B996)</f>
        <v>500.00000000000023</v>
      </c>
    </row>
    <row r="997" spans="1:3">
      <c r="A997">
        <v>500</v>
      </c>
      <c r="C997">
        <f>SUM($B$2:B997)</f>
        <v>500.00000000000023</v>
      </c>
    </row>
    <row r="998" spans="1:3">
      <c r="A998">
        <v>500</v>
      </c>
      <c r="C998">
        <f>SUM($B$2:B998)</f>
        <v>500.00000000000023</v>
      </c>
    </row>
    <row r="999" spans="1:3">
      <c r="A999">
        <v>500</v>
      </c>
      <c r="C999">
        <f>SUM($B$2:B999)</f>
        <v>500.00000000000023</v>
      </c>
    </row>
    <row r="1000" spans="1:3">
      <c r="A1000">
        <v>500</v>
      </c>
      <c r="C1000">
        <f>SUM($B$2:B1000)</f>
        <v>500.00000000000023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>
      <selection activeCell="B2" sqref="B2"/>
    </sheetView>
  </sheetViews>
  <sheetFormatPr defaultRowHeight="15"/>
  <sheetData>
    <row r="1" spans="1:3">
      <c r="A1" s="3" t="s">
        <v>34</v>
      </c>
      <c r="B1" s="3" t="s">
        <v>35</v>
      </c>
      <c r="C1" s="3" t="s">
        <v>36</v>
      </c>
    </row>
    <row r="2" spans="1:3">
      <c r="A2">
        <v>0</v>
      </c>
      <c r="B2">
        <f ca="1">2*SUMPRODUCT(SIN(ROW(INDIRECT("1:"&amp;Dashboard!$C$6))*PI()*Dashboard!$C$3), SIN(ROW(INDIRECT("1:"&amp;Dashboard!$C$6))*PI()*A2))</f>
        <v>0</v>
      </c>
      <c r="C2">
        <f ca="1">2*SUMPRODUCT(SIN(ROW(INDIRECT("1:"&amp;Dashboard!$C$7))*PI()*Dashboard!$C$3), SIN(ROW(INDIRECT("1:"&amp;Dashboard!$C$7))*PI()*A2))</f>
        <v>0</v>
      </c>
    </row>
    <row r="3" spans="1:3">
      <c r="A3">
        <v>0.01</v>
      </c>
      <c r="B3">
        <f ca="1">2*SUMPRODUCT(SIN(ROW(INDIRECT("1:"&amp;Dashboard!$C$6))*PI()*Dashboard!$C$3), SIN(ROW(INDIRECT("1:"&amp;Dashboard!$C$6))*PI()*A3))</f>
        <v>-0.26755583358561519</v>
      </c>
      <c r="C3">
        <f ca="1">2*SUMPRODUCT(SIN(ROW(INDIRECT("1:"&amp;Dashboard!$C$7))*PI()*Dashboard!$C$3), SIN(ROW(INDIRECT("1:"&amp;Dashboard!$C$7))*PI()*A3))</f>
        <v>-3.9405978480289144E-14</v>
      </c>
    </row>
    <row r="4" spans="1:3">
      <c r="A4">
        <v>0.02</v>
      </c>
      <c r="B4">
        <f ca="1">2*SUMPRODUCT(SIN(ROW(INDIRECT("1:"&amp;Dashboard!$C$6))*PI()*Dashboard!$C$3), SIN(ROW(INDIRECT("1:"&amp;Dashboard!$C$6))*PI()*A4))</f>
        <v>-0.45270620606938095</v>
      </c>
      <c r="C4">
        <f ca="1">2*SUMPRODUCT(SIN(ROW(INDIRECT("1:"&amp;Dashboard!$C$7))*PI()*Dashboard!$C$3), SIN(ROW(INDIRECT("1:"&amp;Dashboard!$C$7))*PI()*A4))</f>
        <v>8.576472865229333E-14</v>
      </c>
    </row>
    <row r="5" spans="1:3">
      <c r="A5">
        <v>0.03</v>
      </c>
      <c r="B5">
        <f ca="1">2*SUMPRODUCT(SIN(ROW(INDIRECT("1:"&amp;Dashboard!$C$6))*PI()*Dashboard!$C$3), SIN(ROW(INDIRECT("1:"&amp;Dashboard!$C$6))*PI()*A5))</f>
        <v>-0.49595674722627825</v>
      </c>
      <c r="C5">
        <f ca="1">2*SUMPRODUCT(SIN(ROW(INDIRECT("1:"&amp;Dashboard!$C$7))*PI()*Dashboard!$C$3), SIN(ROW(INDIRECT("1:"&amp;Dashboard!$C$7))*PI()*A5))</f>
        <v>-5.0542903196060239E-14</v>
      </c>
    </row>
    <row r="6" spans="1:3">
      <c r="A6">
        <v>0.04</v>
      </c>
      <c r="B6">
        <f ca="1">2*SUMPRODUCT(SIN(ROW(INDIRECT("1:"&amp;Dashboard!$C$6))*PI()*Dashboard!$C$3), SIN(ROW(INDIRECT("1:"&amp;Dashboard!$C$6))*PI()*A6))</f>
        <v>-0.37843108413490467</v>
      </c>
      <c r="C6">
        <f ca="1">2*SUMPRODUCT(SIN(ROW(INDIRECT("1:"&amp;Dashboard!$C$7))*PI()*Dashboard!$C$3), SIN(ROW(INDIRECT("1:"&amp;Dashboard!$C$7))*PI()*A6))</f>
        <v>7.4329431498654218E-14</v>
      </c>
    </row>
    <row r="7" spans="1:3">
      <c r="A7">
        <v>0.05</v>
      </c>
      <c r="B7">
        <f ca="1">2*SUMPRODUCT(SIN(ROW(INDIRECT("1:"&amp;Dashboard!$C$6))*PI()*Dashboard!$C$3), SIN(ROW(INDIRECT("1:"&amp;Dashboard!$C$6))*PI()*A7))</f>
        <v>-0.1297449277596332</v>
      </c>
      <c r="C7">
        <f ca="1">2*SUMPRODUCT(SIN(ROW(INDIRECT("1:"&amp;Dashboard!$C$7))*PI()*Dashboard!$C$3), SIN(ROW(INDIRECT("1:"&amp;Dashboard!$C$7))*PI()*A7))</f>
        <v>-1.1834977442504171E-13</v>
      </c>
    </row>
    <row r="8" spans="1:3">
      <c r="A8">
        <v>0.06</v>
      </c>
      <c r="B8">
        <f ca="1">2*SUMPRODUCT(SIN(ROW(INDIRECT("1:"&amp;Dashboard!$C$6))*PI()*Dashboard!$C$3), SIN(ROW(INDIRECT("1:"&amp;Dashboard!$C$6))*PI()*A8))</f>
        <v>0.17710722931618783</v>
      </c>
      <c r="C8">
        <f ca="1">2*SUMPRODUCT(SIN(ROW(INDIRECT("1:"&amp;Dashboard!$C$7))*PI()*Dashboard!$C$3), SIN(ROW(INDIRECT("1:"&amp;Dashboard!$C$7))*PI()*A8))</f>
        <v>4.2632564145605986E-14</v>
      </c>
    </row>
    <row r="9" spans="1:3">
      <c r="A9">
        <v>7.0000000000000007E-2</v>
      </c>
      <c r="B9">
        <f ca="1">2*SUMPRODUCT(SIN(ROW(INDIRECT("1:"&amp;Dashboard!$C$6))*PI()*Dashboard!$C$3), SIN(ROW(INDIRECT("1:"&amp;Dashboard!$C$6))*PI()*A9))</f>
        <v>0.44431445909970946</v>
      </c>
      <c r="C9">
        <f ca="1">2*SUMPRODUCT(SIN(ROW(INDIRECT("1:"&amp;Dashboard!$C$7))*PI()*Dashboard!$C$3), SIN(ROW(INDIRECT("1:"&amp;Dashboard!$C$7))*PI()*A9))</f>
        <v>-4.168887457467471E-14</v>
      </c>
    </row>
    <row r="10" spans="1:3">
      <c r="A10">
        <v>0.08</v>
      </c>
      <c r="B10">
        <f ca="1">2*SUMPRODUCT(SIN(ROW(INDIRECT("1:"&amp;Dashboard!$C$6))*PI()*Dashboard!$C$3), SIN(ROW(INDIRECT("1:"&amp;Dashboard!$C$6))*PI()*A10))</f>
        <v>0.57794645503893483</v>
      </c>
      <c r="C10">
        <f ca="1">2*SUMPRODUCT(SIN(ROW(INDIRECT("1:"&amp;Dashboard!$C$7))*PI()*Dashboard!$C$3), SIN(ROW(INDIRECT("1:"&amp;Dashboard!$C$7))*PI()*A10))</f>
        <v>8.4210416417818098E-14</v>
      </c>
    </row>
    <row r="11" spans="1:3">
      <c r="A11">
        <v>0.09</v>
      </c>
      <c r="B11">
        <f ca="1">2*SUMPRODUCT(SIN(ROW(INDIRECT("1:"&amp;Dashboard!$C$6))*PI()*Dashboard!$C$3), SIN(ROW(INDIRECT("1:"&amp;Dashboard!$C$6))*PI()*A11))</f>
        <v>0.51949118764925084</v>
      </c>
      <c r="C11">
        <f ca="1">2*SUMPRODUCT(SIN(ROW(INDIRECT("1:"&amp;Dashboard!$C$7))*PI()*Dashboard!$C$3), SIN(ROW(INDIRECT("1:"&amp;Dashboard!$C$7))*PI()*A11))</f>
        <v>-3.1197266991966867E-14</v>
      </c>
    </row>
    <row r="12" spans="1:3">
      <c r="A12">
        <v>0.1</v>
      </c>
      <c r="B12">
        <f ca="1">2*SUMPRODUCT(SIN(ROW(INDIRECT("1:"&amp;Dashboard!$C$6))*PI()*Dashboard!$C$3), SIN(ROW(INDIRECT("1:"&amp;Dashboard!$C$6))*PI()*A12))</f>
        <v>0.27026481236726124</v>
      </c>
      <c r="C12">
        <f ca="1">2*SUMPRODUCT(SIN(ROW(INDIRECT("1:"&amp;Dashboard!$C$7))*PI()*Dashboard!$C$3), SIN(ROW(INDIRECT("1:"&amp;Dashboard!$C$7))*PI()*A12))</f>
        <v>4.1966430330830993E-14</v>
      </c>
    </row>
    <row r="13" spans="1:3">
      <c r="A13">
        <v>0.11</v>
      </c>
      <c r="B13">
        <f ca="1">2*SUMPRODUCT(SIN(ROW(INDIRECT("1:"&amp;Dashboard!$C$6))*PI()*Dashboard!$C$3), SIN(ROW(INDIRECT("1:"&amp;Dashboard!$C$6))*PI()*A13))</f>
        <v>-0.10105925487056155</v>
      </c>
      <c r="C13">
        <f ca="1">2*SUMPRODUCT(SIN(ROW(INDIRECT("1:"&amp;Dashboard!$C$7))*PI()*Dashboard!$C$3), SIN(ROW(INDIRECT("1:"&amp;Dashboard!$C$7))*PI()*A13))</f>
        <v>-1.5543122344752261E-14</v>
      </c>
    </row>
    <row r="14" spans="1:3">
      <c r="A14">
        <v>0.12</v>
      </c>
      <c r="B14">
        <f ca="1">2*SUMPRODUCT(SIN(ROW(INDIRECT("1:"&amp;Dashboard!$C$6))*PI()*Dashboard!$C$3), SIN(ROW(INDIRECT("1:"&amp;Dashboard!$C$6))*PI()*A14))</f>
        <v>-0.47358991696827846</v>
      </c>
      <c r="C14">
        <f ca="1">2*SUMPRODUCT(SIN(ROW(INDIRECT("1:"&amp;Dashboard!$C$7))*PI()*Dashboard!$C$3), SIN(ROW(INDIRECT("1:"&amp;Dashboard!$C$7))*PI()*A14))</f>
        <v>1.8651746813702583E-14</v>
      </c>
    </row>
    <row r="15" spans="1:3">
      <c r="A15">
        <v>0.13</v>
      </c>
      <c r="B15">
        <f ca="1">2*SUMPRODUCT(SIN(ROW(INDIRECT("1:"&amp;Dashboard!$C$6))*PI()*Dashboard!$C$3), SIN(ROW(INDIRECT("1:"&amp;Dashboard!$C$6))*PI()*A15))</f>
        <v>-0.71063319695064409</v>
      </c>
      <c r="C15">
        <f ca="1">2*SUMPRODUCT(SIN(ROW(INDIRECT("1:"&amp;Dashboard!$C$7))*PI()*Dashboard!$C$3), SIN(ROW(INDIRECT("1:"&amp;Dashboard!$C$7))*PI()*A15))</f>
        <v>-3.685940441755526E-14</v>
      </c>
    </row>
    <row r="16" spans="1:3">
      <c r="A16">
        <v>0.14000000000000001</v>
      </c>
      <c r="B16">
        <f ca="1">2*SUMPRODUCT(SIN(ROW(INDIRECT("1:"&amp;Dashboard!$C$6))*PI()*Dashboard!$C$3), SIN(ROW(INDIRECT("1:"&amp;Dashboard!$C$6))*PI()*A16))</f>
        <v>-0.70768684575717467</v>
      </c>
      <c r="C16">
        <f ca="1">2*SUMPRODUCT(SIN(ROW(INDIRECT("1:"&amp;Dashboard!$C$7))*PI()*Dashboard!$C$3), SIN(ROW(INDIRECT("1:"&amp;Dashboard!$C$7))*PI()*A16))</f>
        <v>1.5765166949677393E-14</v>
      </c>
    </row>
    <row r="17" spans="1:3">
      <c r="A17">
        <v>0.15</v>
      </c>
      <c r="B17">
        <f ca="1">2*SUMPRODUCT(SIN(ROW(INDIRECT("1:"&amp;Dashboard!$C$6))*PI()*Dashboard!$C$3), SIN(ROW(INDIRECT("1:"&amp;Dashboard!$C$6))*PI()*A17))</f>
        <v>-0.43601666316643561</v>
      </c>
      <c r="C17">
        <f ca="1">2*SUMPRODUCT(SIN(ROW(INDIRECT("1:"&amp;Dashboard!$C$7))*PI()*Dashboard!$C$3), SIN(ROW(INDIRECT("1:"&amp;Dashboard!$C$7))*PI()*A17))</f>
        <v>-2.2870594307278278E-14</v>
      </c>
    </row>
    <row r="18" spans="1:3">
      <c r="A18">
        <v>0.16</v>
      </c>
      <c r="B18">
        <f ca="1">2*SUMPRODUCT(SIN(ROW(INDIRECT("1:"&amp;Dashboard!$C$6))*PI()*Dashboard!$C$3), SIN(ROW(INDIRECT("1:"&amp;Dashboard!$C$6))*PI()*A18))</f>
        <v>3.5478470283339947E-2</v>
      </c>
      <c r="C18">
        <f ca="1">2*SUMPRODUCT(SIN(ROW(INDIRECT("1:"&amp;Dashboard!$C$7))*PI()*Dashboard!$C$3), SIN(ROW(INDIRECT("1:"&amp;Dashboard!$C$7))*PI()*A18))</f>
        <v>6.6613381477508777E-15</v>
      </c>
    </row>
    <row r="19" spans="1:3">
      <c r="A19">
        <v>0.17</v>
      </c>
      <c r="B19">
        <f ca="1">2*SUMPRODUCT(SIN(ROW(INDIRECT("1:"&amp;Dashboard!$C$6))*PI()*Dashboard!$C$3), SIN(ROW(INDIRECT("1:"&amp;Dashboard!$C$6))*PI()*A19))</f>
        <v>0.55212857369515045</v>
      </c>
      <c r="C19">
        <f ca="1">2*SUMPRODUCT(SIN(ROW(INDIRECT("1:"&amp;Dashboard!$C$7))*PI()*Dashboard!$C$3), SIN(ROW(INDIRECT("1:"&amp;Dashboard!$C$7))*PI()*A19))</f>
        <v>-1.2878587085651862E-14</v>
      </c>
    </row>
    <row r="20" spans="1:3">
      <c r="A20">
        <v>0.18</v>
      </c>
      <c r="B20">
        <f ca="1">2*SUMPRODUCT(SIN(ROW(INDIRECT("1:"&amp;Dashboard!$C$6))*PI()*Dashboard!$C$3), SIN(ROW(INDIRECT("1:"&amp;Dashboard!$C$6))*PI()*A20))</f>
        <v>0.92009285054754875</v>
      </c>
      <c r="C20">
        <f ca="1">2*SUMPRODUCT(SIN(ROW(INDIRECT("1:"&amp;Dashboard!$C$7))*PI()*Dashboard!$C$3), SIN(ROW(INDIRECT("1:"&amp;Dashboard!$C$7))*PI()*A20))</f>
        <v>1.2434497875801684E-14</v>
      </c>
    </row>
    <row r="21" spans="1:3">
      <c r="A21">
        <v>0.19</v>
      </c>
      <c r="B21">
        <f ca="1">2*SUMPRODUCT(SIN(ROW(INDIRECT("1:"&amp;Dashboard!$C$6))*PI()*Dashboard!$C$3), SIN(ROW(INDIRECT("1:"&amp;Dashboard!$C$6))*PI()*A21))</f>
        <v>0.97533904624842815</v>
      </c>
      <c r="C21">
        <f ca="1">2*SUMPRODUCT(SIN(ROW(INDIRECT("1:"&amp;Dashboard!$C$7))*PI()*Dashboard!$C$3), SIN(ROW(INDIRECT("1:"&amp;Dashboard!$C$7))*PI()*A21))</f>
        <v>-6.5281113847959242E-14</v>
      </c>
    </row>
    <row r="22" spans="1:3">
      <c r="A22">
        <v>0.2</v>
      </c>
      <c r="B22">
        <f ca="1">2*SUMPRODUCT(SIN(ROW(INDIRECT("1:"&amp;Dashboard!$C$6))*PI()*Dashboard!$C$3), SIN(ROW(INDIRECT("1:"&amp;Dashboard!$C$6))*PI()*A22))</f>
        <v>0.65183892035418667</v>
      </c>
      <c r="C22">
        <f ca="1">2*SUMPRODUCT(SIN(ROW(INDIRECT("1:"&amp;Dashboard!$C$7))*PI()*Dashboard!$C$3), SIN(ROW(INDIRECT("1:"&amp;Dashboard!$C$7))*PI()*A22))</f>
        <v>-3.552713678800355E-15</v>
      </c>
    </row>
    <row r="23" spans="1:3">
      <c r="A23">
        <v>0.21</v>
      </c>
      <c r="B23">
        <f ca="1">2*SUMPRODUCT(SIN(ROW(INDIRECT("1:"&amp;Dashboard!$C$6))*PI()*Dashboard!$C$3), SIN(ROW(INDIRECT("1:"&amp;Dashboard!$C$6))*PI()*A23))</f>
        <v>2.2322832289496275E-2</v>
      </c>
      <c r="C23">
        <f ca="1">2*SUMPRODUCT(SIN(ROW(INDIRECT("1:"&amp;Dashboard!$C$7))*PI()*Dashboard!$C$3), SIN(ROW(INDIRECT("1:"&amp;Dashboard!$C$7))*PI()*A23))</f>
        <v>2.1538326677728005E-14</v>
      </c>
    </row>
    <row r="24" spans="1:3">
      <c r="A24">
        <v>0.22</v>
      </c>
      <c r="B24">
        <f ca="1">2*SUMPRODUCT(SIN(ROW(INDIRECT("1:"&amp;Dashboard!$C$6))*PI()*Dashboard!$C$3), SIN(ROW(INDIRECT("1:"&amp;Dashboard!$C$6))*PI()*A24))</f>
        <v>-0.70865959842611792</v>
      </c>
      <c r="C24">
        <f ca="1">2*SUMPRODUCT(SIN(ROW(INDIRECT("1:"&amp;Dashboard!$C$7))*PI()*Dashboard!$C$3), SIN(ROW(INDIRECT("1:"&amp;Dashboard!$C$7))*PI()*A24))</f>
        <v>4.9293902293357089E-14</v>
      </c>
    </row>
    <row r="25" spans="1:3">
      <c r="A25">
        <v>0.23</v>
      </c>
      <c r="B25">
        <f ca="1">2*SUMPRODUCT(SIN(ROW(INDIRECT("1:"&amp;Dashboard!$C$6))*PI()*Dashboard!$C$3), SIN(ROW(INDIRECT("1:"&amp;Dashboard!$C$6))*PI()*A25))</f>
        <v>-1.2642719379715333</v>
      </c>
      <c r="C25">
        <f ca="1">2*SUMPRODUCT(SIN(ROW(INDIRECT("1:"&amp;Dashboard!$C$7))*PI()*Dashboard!$C$3), SIN(ROW(INDIRECT("1:"&amp;Dashboard!$C$7))*PI()*A25))</f>
        <v>-7.638334409421101E-14</v>
      </c>
    </row>
    <row r="26" spans="1:3">
      <c r="A26">
        <v>0.24</v>
      </c>
      <c r="B26">
        <f ca="1">2*SUMPRODUCT(SIN(ROW(INDIRECT("1:"&amp;Dashboard!$C$6))*PI()*Dashboard!$C$3), SIN(ROW(INDIRECT("1:"&amp;Dashboard!$C$6))*PI()*A26))</f>
        <v>-1.3927470522151686</v>
      </c>
      <c r="C26">
        <f ca="1">2*SUMPRODUCT(SIN(ROW(INDIRECT("1:"&amp;Dashboard!$C$7))*PI()*Dashboard!$C$3), SIN(ROW(INDIRECT("1:"&amp;Dashboard!$C$7))*PI()*A26))</f>
        <v>2.4646951146678384E-14</v>
      </c>
    </row>
    <row r="27" spans="1:3">
      <c r="A27">
        <v>0.25</v>
      </c>
      <c r="B27">
        <f ca="1">2*SUMPRODUCT(SIN(ROW(INDIRECT("1:"&amp;Dashboard!$C$6))*PI()*Dashboard!$C$3), SIN(ROW(INDIRECT("1:"&amp;Dashboard!$C$6))*PI()*A27))</f>
        <v>-0.9708285912082768</v>
      </c>
      <c r="C27">
        <f ca="1">2*SUMPRODUCT(SIN(ROW(INDIRECT("1:"&amp;Dashboard!$C$7))*PI()*Dashboard!$C$3), SIN(ROW(INDIRECT("1:"&amp;Dashboard!$C$7))*PI()*A27))</f>
        <v>8.8817841970010985E-16</v>
      </c>
    </row>
    <row r="28" spans="1:3">
      <c r="A28">
        <v>0.26</v>
      </c>
      <c r="B28">
        <f ca="1">2*SUMPRODUCT(SIN(ROW(INDIRECT("1:"&amp;Dashboard!$C$6))*PI()*Dashboard!$C$3), SIN(ROW(INDIRECT("1:"&amp;Dashboard!$C$6))*PI()*A28))</f>
        <v>-7.4254973090055798E-2</v>
      </c>
      <c r="C28">
        <f ca="1">2*SUMPRODUCT(SIN(ROW(INDIRECT("1:"&amp;Dashboard!$C$7))*PI()*Dashboard!$C$3), SIN(ROW(INDIRECT("1:"&amp;Dashboard!$C$7))*PI()*A28))</f>
        <v>2.3758772726978473E-14</v>
      </c>
    </row>
    <row r="29" spans="1:3">
      <c r="A29">
        <v>0.27</v>
      </c>
      <c r="B29">
        <f ca="1">2*SUMPRODUCT(SIN(ROW(INDIRECT("1:"&amp;Dashboard!$C$6))*PI()*Dashboard!$C$3), SIN(ROW(INDIRECT("1:"&amp;Dashboard!$C$6))*PI()*A29))</f>
        <v>1.0172069065706926</v>
      </c>
      <c r="C29">
        <f ca="1">2*SUMPRODUCT(SIN(ROW(INDIRECT("1:"&amp;Dashboard!$C$7))*PI()*Dashboard!$C$3), SIN(ROW(INDIRECT("1:"&amp;Dashboard!$C$7))*PI()*A29))</f>
        <v>-4.01900734914309E-14</v>
      </c>
    </row>
    <row r="30" spans="1:3">
      <c r="A30">
        <v>0.28000000000000003</v>
      </c>
      <c r="B30">
        <f ca="1">2*SUMPRODUCT(SIN(ROW(INDIRECT("1:"&amp;Dashboard!$C$6))*PI()*Dashboard!$C$3), SIN(ROW(INDIRECT("1:"&amp;Dashboard!$C$6))*PI()*A30))</f>
        <v>1.8928302455804746</v>
      </c>
      <c r="C30">
        <f ca="1">2*SUMPRODUCT(SIN(ROW(INDIRECT("1:"&amp;Dashboard!$C$7))*PI()*Dashboard!$C$3), SIN(ROW(INDIRECT("1:"&amp;Dashboard!$C$7))*PI()*A30))</f>
        <v>7.3940853440035766E-14</v>
      </c>
    </row>
    <row r="31" spans="1:3">
      <c r="A31">
        <v>0.28999999999999998</v>
      </c>
      <c r="B31">
        <f ca="1">2*SUMPRODUCT(SIN(ROW(INDIRECT("1:"&amp;Dashboard!$C$6))*PI()*Dashboard!$C$3), SIN(ROW(INDIRECT("1:"&amp;Dashboard!$C$6))*PI()*A31))</f>
        <v>2.1473149244040544</v>
      </c>
      <c r="C31">
        <f ca="1">2*SUMPRODUCT(SIN(ROW(INDIRECT("1:"&amp;Dashboard!$C$7))*PI()*Dashboard!$C$3), SIN(ROW(INDIRECT("1:"&amp;Dashboard!$C$7))*PI()*A31))</f>
        <v>4.0856207306205761E-14</v>
      </c>
    </row>
    <row r="32" spans="1:3">
      <c r="A32">
        <v>0.3</v>
      </c>
      <c r="B32">
        <f ca="1">2*SUMPRODUCT(SIN(ROW(INDIRECT("1:"&amp;Dashboard!$C$6))*PI()*Dashboard!$C$3), SIN(ROW(INDIRECT("1:"&amp;Dashboard!$C$6))*PI()*A32))</f>
        <v>1.539952307766852</v>
      </c>
      <c r="C32">
        <f ca="1">2*SUMPRODUCT(SIN(ROW(INDIRECT("1:"&amp;Dashboard!$C$7))*PI()*Dashboard!$C$3), SIN(ROW(INDIRECT("1:"&amp;Dashboard!$C$7))*PI()*A32))</f>
        <v>-2.2204460492503024E-14</v>
      </c>
    </row>
    <row r="33" spans="1:3">
      <c r="A33">
        <v>0.31</v>
      </c>
      <c r="B33">
        <f ca="1">2*SUMPRODUCT(SIN(ROW(INDIRECT("1:"&amp;Dashboard!$C$6))*PI()*Dashboard!$C$3), SIN(ROW(INDIRECT("1:"&amp;Dashboard!$C$6))*PI()*A33))</f>
        <v>0.12172488982119367</v>
      </c>
      <c r="C33">
        <f ca="1">2*SUMPRODUCT(SIN(ROW(INDIRECT("1:"&amp;Dashboard!$C$7))*PI()*Dashboard!$C$3), SIN(ROW(INDIRECT("1:"&amp;Dashboard!$C$7))*PI()*A33))</f>
        <v>-1.2190248810384242E-13</v>
      </c>
    </row>
    <row r="34" spans="1:3">
      <c r="A34">
        <v>0.32</v>
      </c>
      <c r="B34">
        <f ca="1">2*SUMPRODUCT(SIN(ROW(INDIRECT("1:"&amp;Dashboard!$C$6))*PI()*Dashboard!$C$3), SIN(ROW(INDIRECT("1:"&amp;Dashboard!$C$6))*PI()*A34))</f>
        <v>-1.7206894703589861</v>
      </c>
      <c r="C34">
        <f ca="1">2*SUMPRODUCT(SIN(ROW(INDIRECT("1:"&amp;Dashboard!$C$7))*PI()*Dashboard!$C$3), SIN(ROW(INDIRECT("1:"&amp;Dashboard!$C$7))*PI()*A34))</f>
        <v>1.6298074001497285E-13</v>
      </c>
    </row>
    <row r="35" spans="1:3">
      <c r="A35">
        <v>0.33</v>
      </c>
      <c r="B35">
        <f ca="1">2*SUMPRODUCT(SIN(ROW(INDIRECT("1:"&amp;Dashboard!$C$6))*PI()*Dashboard!$C$3), SIN(ROW(INDIRECT("1:"&amp;Dashboard!$C$6))*PI()*A35))</f>
        <v>-3.3323554623904883</v>
      </c>
      <c r="C35">
        <f ca="1">2*SUMPRODUCT(SIN(ROW(INDIRECT("1:"&amp;Dashboard!$C$7))*PI()*Dashboard!$C$3), SIN(ROW(INDIRECT("1:"&amp;Dashboard!$C$7))*PI()*A35))</f>
        <v>-4.0634162701280717E-14</v>
      </c>
    </row>
    <row r="36" spans="1:3">
      <c r="A36">
        <v>0.34</v>
      </c>
      <c r="B36">
        <f ca="1">2*SUMPRODUCT(SIN(ROW(INDIRECT("1:"&amp;Dashboard!$C$6))*PI()*Dashboard!$C$3), SIN(ROW(INDIRECT("1:"&amp;Dashboard!$C$6))*PI()*A36))</f>
        <v>-3.961789575592797</v>
      </c>
      <c r="C36">
        <f ca="1">2*SUMPRODUCT(SIN(ROW(INDIRECT("1:"&amp;Dashboard!$C$7))*PI()*Dashboard!$C$3), SIN(ROW(INDIRECT("1:"&amp;Dashboard!$C$7))*PI()*A36))</f>
        <v>6.6613381477518612E-16</v>
      </c>
    </row>
    <row r="37" spans="1:3">
      <c r="A37">
        <v>0.35</v>
      </c>
      <c r="B37">
        <f ca="1">2*SUMPRODUCT(SIN(ROW(INDIRECT("1:"&amp;Dashboard!$C$6))*PI()*Dashboard!$C$3), SIN(ROW(INDIRECT("1:"&amp;Dashboard!$C$6))*PI()*A37))</f>
        <v>-2.9926989090668483</v>
      </c>
      <c r="C37">
        <f ca="1">2*SUMPRODUCT(SIN(ROW(INDIRECT("1:"&amp;Dashboard!$C$7))*PI()*Dashboard!$C$3), SIN(ROW(INDIRECT("1:"&amp;Dashboard!$C$7))*PI()*A37))</f>
        <v>-1.123545700920656E-13</v>
      </c>
    </row>
    <row r="38" spans="1:3">
      <c r="A38">
        <v>0.36</v>
      </c>
      <c r="B38">
        <f ca="1">2*SUMPRODUCT(SIN(ROW(INDIRECT("1:"&amp;Dashboard!$C$6))*PI()*Dashboard!$C$3), SIN(ROW(INDIRECT("1:"&amp;Dashboard!$C$6))*PI()*A38))</f>
        <v>-0.16580434759894991</v>
      </c>
      <c r="C38">
        <f ca="1">2*SUMPRODUCT(SIN(ROW(INDIRECT("1:"&amp;Dashboard!$C$7))*PI()*Dashboard!$C$3), SIN(ROW(INDIRECT("1:"&amp;Dashboard!$C$7))*PI()*A38))</f>
        <v>1.4943601911454594E-13</v>
      </c>
    </row>
    <row r="39" spans="1:3">
      <c r="A39">
        <v>0.37</v>
      </c>
      <c r="B39">
        <f ca="1">2*SUMPRODUCT(SIN(ROW(INDIRECT("1:"&amp;Dashboard!$C$6))*PI()*Dashboard!$C$3), SIN(ROW(INDIRECT("1:"&amp;Dashboard!$C$6))*PI()*A39))</f>
        <v>4.2834732385439258</v>
      </c>
      <c r="C39">
        <f ca="1">2*SUMPRODUCT(SIN(ROW(INDIRECT("1:"&amp;Dashboard!$C$7))*PI()*Dashboard!$C$3), SIN(ROW(INDIRECT("1:"&amp;Dashboard!$C$7))*PI()*A39))</f>
        <v>2.7533531010703914E-14</v>
      </c>
    </row>
    <row r="40" spans="1:3">
      <c r="A40">
        <v>0.38</v>
      </c>
      <c r="B40">
        <f ca="1">2*SUMPRODUCT(SIN(ROW(INDIRECT("1:"&amp;Dashboard!$C$6))*PI()*Dashboard!$C$3), SIN(ROW(INDIRECT("1:"&amp;Dashboard!$C$6))*PI()*A40))</f>
        <v>9.6251573039715481</v>
      </c>
      <c r="C40">
        <f ca="1">2*SUMPRODUCT(SIN(ROW(INDIRECT("1:"&amp;Dashboard!$C$7))*PI()*Dashboard!$C$3), SIN(ROW(INDIRECT("1:"&amp;Dashboard!$C$7))*PI()*A40))</f>
        <v>-1.1324274851176519E-14</v>
      </c>
    </row>
    <row r="41" spans="1:3">
      <c r="A41">
        <v>0.39</v>
      </c>
      <c r="B41">
        <f ca="1">2*SUMPRODUCT(SIN(ROW(INDIRECT("1:"&amp;Dashboard!$C$6))*PI()*Dashboard!$C$3), SIN(ROW(INDIRECT("1:"&amp;Dashboard!$C$6))*PI()*A41))</f>
        <v>14.786063022042793</v>
      </c>
      <c r="C41">
        <f ca="1">2*SUMPRODUCT(SIN(ROW(INDIRECT("1:"&amp;Dashboard!$C$7))*PI()*Dashboard!$C$3), SIN(ROW(INDIRECT("1:"&amp;Dashboard!$C$7))*PI()*A41))</f>
        <v>-1.7563728249569994E-13</v>
      </c>
    </row>
    <row r="42" spans="1:3">
      <c r="A42">
        <v>0.4</v>
      </c>
      <c r="B42">
        <f ca="1">2*SUMPRODUCT(SIN(ROW(INDIRECT("1:"&amp;Dashboard!$C$6))*PI()*Dashboard!$C$3), SIN(ROW(INDIRECT("1:"&amp;Dashboard!$C$6))*PI()*A42))</f>
        <v>18.617833654898163</v>
      </c>
      <c r="C42">
        <f ca="1">2*SUMPRODUCT(SIN(ROW(INDIRECT("1:"&amp;Dashboard!$C$7))*PI()*Dashboard!$C$3), SIN(ROW(INDIRECT("1:"&amp;Dashboard!$C$7))*PI()*A42))</f>
        <v>5.8664184621193302E-13</v>
      </c>
    </row>
    <row r="43" spans="1:3">
      <c r="A43">
        <v>0.41</v>
      </c>
      <c r="B43">
        <f ca="1">2*SUMPRODUCT(SIN(ROW(INDIRECT("1:"&amp;Dashboard!$C$6))*PI()*Dashboard!$C$3), SIN(ROW(INDIRECT("1:"&amp;Dashboard!$C$6))*PI()*A43))</f>
        <v>20.207337772685712</v>
      </c>
      <c r="C43">
        <f ca="1">2*SUMPRODUCT(SIN(ROW(INDIRECT("1:"&amp;Dashboard!$C$7))*PI()*Dashboard!$C$3), SIN(ROW(INDIRECT("1:"&amp;Dashboard!$C$7))*PI()*A43))</f>
        <v>99.999999999999929</v>
      </c>
    </row>
    <row r="44" spans="1:3">
      <c r="A44">
        <v>0.42</v>
      </c>
      <c r="B44">
        <f ca="1">2*SUMPRODUCT(SIN(ROW(INDIRECT("1:"&amp;Dashboard!$C$6))*PI()*Dashboard!$C$3), SIN(ROW(INDIRECT("1:"&amp;Dashboard!$C$6))*PI()*A44))</f>
        <v>19.137174016102527</v>
      </c>
      <c r="C44">
        <f ca="1">2*SUMPRODUCT(SIN(ROW(INDIRECT("1:"&amp;Dashboard!$C$7))*PI()*Dashboard!$C$3), SIN(ROW(INDIRECT("1:"&amp;Dashboard!$C$7))*PI()*A44))</f>
        <v>-1.2412293415309245E-13</v>
      </c>
    </row>
    <row r="45" spans="1:3">
      <c r="A45">
        <v>0.43</v>
      </c>
      <c r="B45">
        <f ca="1">2*SUMPRODUCT(SIN(ROW(INDIRECT("1:"&amp;Dashboard!$C$6))*PI()*Dashboard!$C$3), SIN(ROW(INDIRECT("1:"&amp;Dashboard!$C$6))*PI()*A45))</f>
        <v>15.615112718202031</v>
      </c>
      <c r="C45">
        <f ca="1">2*SUMPRODUCT(SIN(ROW(INDIRECT("1:"&amp;Dashboard!$C$7))*PI()*Dashboard!$C$3), SIN(ROW(INDIRECT("1:"&amp;Dashboard!$C$7))*PI()*A45))</f>
        <v>9.8587804586714178E-14</v>
      </c>
    </row>
    <row r="46" spans="1:3">
      <c r="A46">
        <v>0.44</v>
      </c>
      <c r="B46">
        <f ca="1">2*SUMPRODUCT(SIN(ROW(INDIRECT("1:"&amp;Dashboard!$C$6))*PI()*Dashboard!$C$3), SIN(ROW(INDIRECT("1:"&amp;Dashboard!$C$6))*PI()*A46))</f>
        <v>10.429043864881775</v>
      </c>
      <c r="C46">
        <f ca="1">2*SUMPRODUCT(SIN(ROW(INDIRECT("1:"&amp;Dashboard!$C$7))*PI()*Dashboard!$C$3), SIN(ROW(INDIRECT("1:"&amp;Dashboard!$C$7))*PI()*A46))</f>
        <v>3.9745984281580882E-14</v>
      </c>
    </row>
    <row r="47" spans="1:3">
      <c r="A47">
        <v>0.45</v>
      </c>
      <c r="B47">
        <f ca="1">2*SUMPRODUCT(SIN(ROW(INDIRECT("1:"&amp;Dashboard!$C$6))*PI()*Dashboard!$C$3), SIN(ROW(INDIRECT("1:"&amp;Dashboard!$C$6))*PI()*A47))</f>
        <v>4.7369823106345548</v>
      </c>
      <c r="C47">
        <f ca="1">2*SUMPRODUCT(SIN(ROW(INDIRECT("1:"&amp;Dashboard!$C$7))*PI()*Dashboard!$C$3), SIN(ROW(INDIRECT("1:"&amp;Dashboard!$C$7))*PI()*A47))</f>
        <v>3.3306690738755312E-15</v>
      </c>
    </row>
    <row r="48" spans="1:3">
      <c r="A48">
        <v>0.46</v>
      </c>
      <c r="B48">
        <f ca="1">2*SUMPRODUCT(SIN(ROW(INDIRECT("1:"&amp;Dashboard!$C$6))*PI()*Dashboard!$C$3), SIN(ROW(INDIRECT("1:"&amp;Dashboard!$C$6))*PI()*A48))</f>
        <v>-0.24701433470602263</v>
      </c>
      <c r="C48">
        <f ca="1">2*SUMPRODUCT(SIN(ROW(INDIRECT("1:"&amp;Dashboard!$C$7))*PI()*Dashboard!$C$3), SIN(ROW(INDIRECT("1:"&amp;Dashboard!$C$7))*PI()*A48))</f>
        <v>-2.4424906541752952E-14</v>
      </c>
    </row>
    <row r="49" spans="1:3">
      <c r="A49">
        <v>0.47</v>
      </c>
      <c r="B49">
        <f ca="1">2*SUMPRODUCT(SIN(ROW(INDIRECT("1:"&amp;Dashboard!$C$6))*PI()*Dashboard!$C$3), SIN(ROW(INDIRECT("1:"&amp;Dashboard!$C$6))*PI()*A49))</f>
        <v>-3.5773643590273316</v>
      </c>
      <c r="C49">
        <f ca="1">2*SUMPRODUCT(SIN(ROW(INDIRECT("1:"&amp;Dashboard!$C$7))*PI()*Dashboard!$C$3), SIN(ROW(INDIRECT("1:"&amp;Dashboard!$C$7))*PI()*A49))</f>
        <v>1.9984014443251279E-15</v>
      </c>
    </row>
    <row r="50" spans="1:3">
      <c r="A50">
        <v>0.48</v>
      </c>
      <c r="B50">
        <f ca="1">2*SUMPRODUCT(SIN(ROW(INDIRECT("1:"&amp;Dashboard!$C$6))*PI()*Dashboard!$C$3), SIN(ROW(INDIRECT("1:"&amp;Dashboard!$C$6))*PI()*A50))</f>
        <v>-4.8150055984827196</v>
      </c>
      <c r="C50">
        <f ca="1">2*SUMPRODUCT(SIN(ROW(INDIRECT("1:"&amp;Dashboard!$C$7))*PI()*Dashboard!$C$3), SIN(ROW(INDIRECT("1:"&amp;Dashboard!$C$7))*PI()*A50))</f>
        <v>3.5527136788003163E-15</v>
      </c>
    </row>
    <row r="51" spans="1:3">
      <c r="A51">
        <v>0.49</v>
      </c>
      <c r="B51">
        <f ca="1">2*SUMPRODUCT(SIN(ROW(INDIRECT("1:"&amp;Dashboard!$C$6))*PI()*Dashboard!$C$3), SIN(ROW(INDIRECT("1:"&amp;Dashboard!$C$6))*PI()*A51))</f>
        <v>-4.1096852635729055</v>
      </c>
      <c r="C51">
        <f ca="1">2*SUMPRODUCT(SIN(ROW(INDIRECT("1:"&amp;Dashboard!$C$7))*PI()*Dashboard!$C$3), SIN(ROW(INDIRECT("1:"&amp;Dashboard!$C$7))*PI()*A51))</f>
        <v>-1.0769163338864055E-13</v>
      </c>
    </row>
    <row r="52" spans="1:3">
      <c r="A52">
        <v>0.5</v>
      </c>
      <c r="B52">
        <f ca="1">2*SUMPRODUCT(SIN(ROW(INDIRECT("1:"&amp;Dashboard!$C$6))*PI()*Dashboard!$C$3), SIN(ROW(INDIRECT("1:"&amp;Dashboard!$C$6))*PI()*A52))</f>
        <v>-2.1068243380124918</v>
      </c>
      <c r="C52">
        <f ca="1">2*SUMPRODUCT(SIN(ROW(INDIRECT("1:"&amp;Dashboard!$C$7))*PI()*Dashboard!$C$3), SIN(ROW(INDIRECT("1:"&amp;Dashboard!$C$7))*PI()*A52))</f>
        <v>-7.0610184366159931E-14</v>
      </c>
    </row>
    <row r="53" spans="1:3">
      <c r="A53">
        <v>0.51</v>
      </c>
      <c r="B53">
        <f ca="1">2*SUMPRODUCT(SIN(ROW(INDIRECT("1:"&amp;Dashboard!$C$6))*PI()*Dashboard!$C$3), SIN(ROW(INDIRECT("1:"&amp;Dashboard!$C$6))*PI()*A53))</f>
        <v>0.28541831352718994</v>
      </c>
      <c r="C53">
        <f ca="1">2*SUMPRODUCT(SIN(ROW(INDIRECT("1:"&amp;Dashboard!$C$7))*PI()*Dashboard!$C$3), SIN(ROW(INDIRECT("1:"&amp;Dashboard!$C$7))*PI()*A53))</f>
        <v>1.2212453270876752E-13</v>
      </c>
    </row>
    <row r="54" spans="1:3">
      <c r="A54">
        <v>0.52</v>
      </c>
      <c r="B54">
        <f ca="1">2*SUMPRODUCT(SIN(ROW(INDIRECT("1:"&amp;Dashboard!$C$6))*PI()*Dashboard!$C$3), SIN(ROW(INDIRECT("1:"&amp;Dashboard!$C$6))*PI()*A54))</f>
        <v>2.1904470056152721</v>
      </c>
      <c r="C54">
        <f ca="1">2*SUMPRODUCT(SIN(ROW(INDIRECT("1:"&amp;Dashboard!$C$7))*PI()*Dashboard!$C$3), SIN(ROW(INDIRECT("1:"&amp;Dashboard!$C$7))*PI()*A54))</f>
        <v>1.5765166949677469E-14</v>
      </c>
    </row>
    <row r="55" spans="1:3">
      <c r="A55">
        <v>0.53</v>
      </c>
      <c r="B55">
        <f ca="1">2*SUMPRODUCT(SIN(ROW(INDIRECT("1:"&amp;Dashboard!$C$6))*PI()*Dashboard!$C$3), SIN(ROW(INDIRECT("1:"&amp;Dashboard!$C$6))*PI()*A55))</f>
        <v>3.0240423890423349</v>
      </c>
      <c r="C55">
        <f ca="1">2*SUMPRODUCT(SIN(ROW(INDIRECT("1:"&amp;Dashboard!$C$7))*PI()*Dashboard!$C$3), SIN(ROW(INDIRECT("1:"&amp;Dashboard!$C$7))*PI()*A55))</f>
        <v>4.4408920985015481E-16</v>
      </c>
    </row>
    <row r="56" spans="1:3">
      <c r="A56">
        <v>0.54</v>
      </c>
      <c r="B56">
        <f ca="1">2*SUMPRODUCT(SIN(ROW(INDIRECT("1:"&amp;Dashboard!$C$6))*PI()*Dashboard!$C$3), SIN(ROW(INDIRECT("1:"&amp;Dashboard!$C$6))*PI()*A56))</f>
        <v>2.6417306072135442</v>
      </c>
      <c r="C56">
        <f ca="1">2*SUMPRODUCT(SIN(ROW(INDIRECT("1:"&amp;Dashboard!$C$7))*PI()*Dashboard!$C$3), SIN(ROW(INDIRECT("1:"&amp;Dashboard!$C$7))*PI()*A56))</f>
        <v>-6.1062266354383143E-14</v>
      </c>
    </row>
    <row r="57" spans="1:3">
      <c r="A57">
        <v>0.55000000000000004</v>
      </c>
      <c r="B57">
        <f ca="1">2*SUMPRODUCT(SIN(ROW(INDIRECT("1:"&amp;Dashboard!$C$6))*PI()*Dashboard!$C$3), SIN(ROW(INDIRECT("1:"&amp;Dashboard!$C$6))*PI()*A57))</f>
        <v>1.3332901855621602</v>
      </c>
      <c r="C57">
        <f ca="1">2*SUMPRODUCT(SIN(ROW(INDIRECT("1:"&amp;Dashboard!$C$7))*PI()*Dashboard!$C$3), SIN(ROW(INDIRECT("1:"&amp;Dashboard!$C$7))*PI()*A57))</f>
        <v>3.7969627442180234E-14</v>
      </c>
    </row>
    <row r="58" spans="1:3">
      <c r="A58">
        <v>0.56000000000000005</v>
      </c>
      <c r="B58">
        <f ca="1">2*SUMPRODUCT(SIN(ROW(INDIRECT("1:"&amp;Dashboard!$C$6))*PI()*Dashboard!$C$3), SIN(ROW(INDIRECT("1:"&amp;Dashboard!$C$6))*PI()*A58))</f>
        <v>-0.32306615942388284</v>
      </c>
      <c r="C58">
        <f ca="1">2*SUMPRODUCT(SIN(ROW(INDIRECT("1:"&amp;Dashboard!$C$7))*PI()*Dashboard!$C$3), SIN(ROW(INDIRECT("1:"&amp;Dashboard!$C$7))*PI()*A58))</f>
        <v>4.1966430330831592E-14</v>
      </c>
    </row>
    <row r="59" spans="1:3">
      <c r="A59">
        <v>0.56999999999999995</v>
      </c>
      <c r="B59">
        <f ca="1">2*SUMPRODUCT(SIN(ROW(INDIRECT("1:"&amp;Dashboard!$C$6))*PI()*Dashboard!$C$3), SIN(ROW(INDIRECT("1:"&amp;Dashboard!$C$6))*PI()*A59))</f>
        <v>-1.6887091226228956</v>
      </c>
      <c r="C59">
        <f ca="1">2*SUMPRODUCT(SIN(ROW(INDIRECT("1:"&amp;Dashboard!$C$7))*PI()*Dashboard!$C$3), SIN(ROW(INDIRECT("1:"&amp;Dashboard!$C$7))*PI()*A59))</f>
        <v>-1.8429702208777046E-14</v>
      </c>
    </row>
    <row r="60" spans="1:3">
      <c r="A60">
        <v>0.57999999999999996</v>
      </c>
      <c r="B60">
        <f ca="1">2*SUMPRODUCT(SIN(ROW(INDIRECT("1:"&amp;Dashboard!$C$6))*PI()*Dashboard!$C$3), SIN(ROW(INDIRECT("1:"&amp;Dashboard!$C$6))*PI()*A60))</f>
        <v>-2.2926387151007739</v>
      </c>
      <c r="C60">
        <f ca="1">2*SUMPRODUCT(SIN(ROW(INDIRECT("1:"&amp;Dashboard!$C$7))*PI()*Dashboard!$C$3), SIN(ROW(INDIRECT("1:"&amp;Dashboard!$C$7))*PI()*A60))</f>
        <v>6.8167693711984612E-14</v>
      </c>
    </row>
    <row r="61" spans="1:3">
      <c r="A61">
        <v>0.59</v>
      </c>
      <c r="B61">
        <f ca="1">2*SUMPRODUCT(SIN(ROW(INDIRECT("1:"&amp;Dashboard!$C$6))*PI()*Dashboard!$C$3), SIN(ROW(INDIRECT("1:"&amp;Dashboard!$C$6))*PI()*A61))</f>
        <v>-1.9822705032006831</v>
      </c>
      <c r="C61">
        <f ca="1">2*SUMPRODUCT(SIN(ROW(INDIRECT("1:"&amp;Dashboard!$C$7))*PI()*Dashboard!$C$3), SIN(ROW(INDIRECT("1:"&amp;Dashboard!$C$7))*PI()*A61))</f>
        <v>-2.5757174171303294E-14</v>
      </c>
    </row>
    <row r="62" spans="1:3">
      <c r="A62">
        <v>0.6</v>
      </c>
      <c r="B62">
        <f ca="1">2*SUMPRODUCT(SIN(ROW(INDIRECT("1:"&amp;Dashboard!$C$6))*PI()*Dashboard!$C$3), SIN(ROW(INDIRECT("1:"&amp;Dashboard!$C$6))*PI()*A62))</f>
        <v>-0.95069607711388571</v>
      </c>
      <c r="C62">
        <f ca="1">2*SUMPRODUCT(SIN(ROW(INDIRECT("1:"&amp;Dashboard!$C$7))*PI()*Dashboard!$C$3), SIN(ROW(INDIRECT("1:"&amp;Dashboard!$C$7))*PI()*A62))</f>
        <v>7.6383344094210985E-14</v>
      </c>
    </row>
    <row r="63" spans="1:3">
      <c r="A63">
        <v>0.61</v>
      </c>
      <c r="B63">
        <f ca="1">2*SUMPRODUCT(SIN(ROW(INDIRECT("1:"&amp;Dashboard!$C$6))*PI()*Dashboard!$C$3), SIN(ROW(INDIRECT("1:"&amp;Dashboard!$C$6))*PI()*A63))</f>
        <v>0.36043558036420575</v>
      </c>
      <c r="C63">
        <f ca="1">2*SUMPRODUCT(SIN(ROW(INDIRECT("1:"&amp;Dashboard!$C$7))*PI()*Dashboard!$C$3), SIN(ROW(INDIRECT("1:"&amp;Dashboard!$C$7))*PI()*A63))</f>
        <v>-6.4392935428258953E-14</v>
      </c>
    </row>
    <row r="64" spans="1:3">
      <c r="A64">
        <v>0.62</v>
      </c>
      <c r="B64">
        <f ca="1">2*SUMPRODUCT(SIN(ROW(INDIRECT("1:"&amp;Dashboard!$C$6))*PI()*Dashboard!$C$3), SIN(ROW(INDIRECT("1:"&amp;Dashboard!$C$6))*PI()*A64))</f>
        <v>1.4398324552541177</v>
      </c>
      <c r="C64">
        <f ca="1">2*SUMPRODUCT(SIN(ROW(INDIRECT("1:"&amp;Dashboard!$C$7))*PI()*Dashboard!$C$3), SIN(ROW(INDIRECT("1:"&amp;Dashboard!$C$7))*PI()*A64))</f>
        <v>-9.1038288019258529E-15</v>
      </c>
    </row>
    <row r="65" spans="1:3">
      <c r="A65">
        <v>0.63</v>
      </c>
      <c r="B65">
        <f ca="1">2*SUMPRODUCT(SIN(ROW(INDIRECT("1:"&amp;Dashboard!$C$6))*PI()*Dashboard!$C$3), SIN(ROW(INDIRECT("1:"&amp;Dashboard!$C$6))*PI()*A65))</f>
        <v>1.8983377002182007</v>
      </c>
      <c r="C65">
        <f ca="1">2*SUMPRODUCT(SIN(ROW(INDIRECT("1:"&amp;Dashboard!$C$7))*PI()*Dashboard!$C$3), SIN(ROW(INDIRECT("1:"&amp;Dashboard!$C$7))*PI()*A65))</f>
        <v>3.2418512319054476E-14</v>
      </c>
    </row>
    <row r="66" spans="1:3">
      <c r="A66">
        <v>0.64</v>
      </c>
      <c r="B66">
        <f ca="1">2*SUMPRODUCT(SIN(ROW(INDIRECT("1:"&amp;Dashboard!$C$6))*PI()*Dashboard!$C$3), SIN(ROW(INDIRECT("1:"&amp;Dashboard!$C$6))*PI()*A66))</f>
        <v>1.6039405223214587</v>
      </c>
      <c r="C66">
        <f ca="1">2*SUMPRODUCT(SIN(ROW(INDIRECT("1:"&amp;Dashboard!$C$7))*PI()*Dashboard!$C$3), SIN(ROW(INDIRECT("1:"&amp;Dashboard!$C$7))*PI()*A66))</f>
        <v>-2.4202861936828659E-14</v>
      </c>
    </row>
    <row r="67" spans="1:3">
      <c r="A67">
        <v>0.65</v>
      </c>
      <c r="B67">
        <f ca="1">2*SUMPRODUCT(SIN(ROW(INDIRECT("1:"&amp;Dashboard!$C$6))*PI()*Dashboard!$C$3), SIN(ROW(INDIRECT("1:"&amp;Dashboard!$C$6))*PI()*A67))</f>
        <v>0.71450700875072604</v>
      </c>
      <c r="C67">
        <f ca="1">2*SUMPRODUCT(SIN(ROW(INDIRECT("1:"&amp;Dashboard!$C$7))*PI()*Dashboard!$C$3), SIN(ROW(INDIRECT("1:"&amp;Dashboard!$C$7))*PI()*A67))</f>
        <v>5.1514348342606954E-14</v>
      </c>
    </row>
    <row r="68" spans="1:3">
      <c r="A68">
        <v>0.66</v>
      </c>
      <c r="B68">
        <f ca="1">2*SUMPRODUCT(SIN(ROW(INDIRECT("1:"&amp;Dashboard!$C$6))*PI()*Dashboard!$C$3), SIN(ROW(INDIRECT("1:"&amp;Dashboard!$C$6))*PI()*A68))</f>
        <v>-0.39799031126748297</v>
      </c>
      <c r="C68">
        <f ca="1">2*SUMPRODUCT(SIN(ROW(INDIRECT("1:"&amp;Dashboard!$C$7))*PI()*Dashboard!$C$3), SIN(ROW(INDIRECT("1:"&amp;Dashboard!$C$7))*PI()*A68))</f>
        <v>6.0396132539608491E-14</v>
      </c>
    </row>
    <row r="69" spans="1:3">
      <c r="A69">
        <v>0.67</v>
      </c>
      <c r="B69">
        <f ca="1">2*SUMPRODUCT(SIN(ROW(INDIRECT("1:"&amp;Dashboard!$C$6))*PI()*Dashboard!$C$3), SIN(ROW(INDIRECT("1:"&amp;Dashboard!$C$6))*PI()*A69))</f>
        <v>-1.2982359715656793</v>
      </c>
      <c r="C69">
        <f ca="1">2*SUMPRODUCT(SIN(ROW(INDIRECT("1:"&amp;Dashboard!$C$7))*PI()*Dashboard!$C$3), SIN(ROW(INDIRECT("1:"&amp;Dashboard!$C$7))*PI()*A69))</f>
        <v>-2.2204460492555383E-16</v>
      </c>
    </row>
    <row r="70" spans="1:3">
      <c r="A70">
        <v>0.68</v>
      </c>
      <c r="B70">
        <f ca="1">2*SUMPRODUCT(SIN(ROW(INDIRECT("1:"&amp;Dashboard!$C$6))*PI()*Dashboard!$C$3), SIN(ROW(INDIRECT("1:"&amp;Dashboard!$C$6))*PI()*A70))</f>
        <v>-1.6540224576389577</v>
      </c>
      <c r="C70">
        <f ca="1">2*SUMPRODUCT(SIN(ROW(INDIRECT("1:"&amp;Dashboard!$C$7))*PI()*Dashboard!$C$3), SIN(ROW(INDIRECT("1:"&amp;Dashboard!$C$7))*PI()*A70))</f>
        <v>5.6843418860808204E-14</v>
      </c>
    </row>
    <row r="71" spans="1:3">
      <c r="A71">
        <v>0.69</v>
      </c>
      <c r="B71">
        <f ca="1">2*SUMPRODUCT(SIN(ROW(INDIRECT("1:"&amp;Dashboard!$C$6))*PI()*Dashboard!$C$3), SIN(ROW(INDIRECT("1:"&amp;Dashboard!$C$6))*PI()*A71))</f>
        <v>-1.3560404907691588</v>
      </c>
      <c r="C71">
        <f ca="1">2*SUMPRODUCT(SIN(ROW(INDIRECT("1:"&amp;Dashboard!$C$7))*PI()*Dashboard!$C$3), SIN(ROW(INDIRECT("1:"&amp;Dashboard!$C$7))*PI()*A71))</f>
        <v>-3.3306690738753158E-15</v>
      </c>
    </row>
    <row r="72" spans="1:3">
      <c r="A72">
        <v>0.7</v>
      </c>
      <c r="B72">
        <f ca="1">2*SUMPRODUCT(SIN(ROW(INDIRECT("1:"&amp;Dashboard!$C$6))*PI()*Dashboard!$C$3), SIN(ROW(INDIRECT("1:"&amp;Dashboard!$C$6))*PI()*A72))</f>
        <v>-0.54861701473127122</v>
      </c>
      <c r="C72">
        <f ca="1">2*SUMPRODUCT(SIN(ROW(INDIRECT("1:"&amp;Dashboard!$C$7))*PI()*Dashboard!$C$3), SIN(ROW(INDIRECT("1:"&amp;Dashboard!$C$7))*PI()*A72))</f>
        <v>5.5511151231257335E-14</v>
      </c>
    </row>
    <row r="73" spans="1:3">
      <c r="A73">
        <v>0.71</v>
      </c>
      <c r="B73">
        <f ca="1">2*SUMPRODUCT(SIN(ROW(INDIRECT("1:"&amp;Dashboard!$C$6))*PI()*Dashboard!$C$3), SIN(ROW(INDIRECT("1:"&amp;Dashboard!$C$6))*PI()*A73))</f>
        <v>0.43620336949739325</v>
      </c>
      <c r="C73">
        <f ca="1">2*SUMPRODUCT(SIN(ROW(INDIRECT("1:"&amp;Dashboard!$C$7))*PI()*Dashboard!$C$3), SIN(ROW(INDIRECT("1:"&amp;Dashboard!$C$7))*PI()*A73))</f>
        <v>-5.6177285046032984E-14</v>
      </c>
    </row>
    <row r="74" spans="1:3">
      <c r="A74">
        <v>0.72</v>
      </c>
      <c r="B74">
        <f ca="1">2*SUMPRODUCT(SIN(ROW(INDIRECT("1:"&amp;Dashboard!$C$6))*PI()*Dashboard!$C$3), SIN(ROW(INDIRECT("1:"&amp;Dashboard!$C$6))*PI()*A74))</f>
        <v>1.2125607430005572</v>
      </c>
      <c r="C74">
        <f ca="1">2*SUMPRODUCT(SIN(ROW(INDIRECT("1:"&amp;Dashboard!$C$7))*PI()*Dashboard!$C$3), SIN(ROW(INDIRECT("1:"&amp;Dashboard!$C$7))*PI()*A74))</f>
        <v>1.8163248682867533E-13</v>
      </c>
    </row>
    <row r="75" spans="1:3">
      <c r="A75">
        <v>0.73</v>
      </c>
      <c r="B75">
        <f ca="1">2*SUMPRODUCT(SIN(ROW(INDIRECT("1:"&amp;Dashboard!$C$6))*PI()*Dashboard!$C$3), SIN(ROW(INDIRECT("1:"&amp;Dashboard!$C$6))*PI()*A75))</f>
        <v>1.4896924699085936</v>
      </c>
      <c r="C75">
        <f ca="1">2*SUMPRODUCT(SIN(ROW(INDIRECT("1:"&amp;Dashboard!$C$7))*PI()*Dashboard!$C$3), SIN(ROW(INDIRECT("1:"&amp;Dashboard!$C$7))*PI()*A75))</f>
        <v>-6.9499961341535077E-14</v>
      </c>
    </row>
    <row r="76" spans="1:3">
      <c r="A76">
        <v>0.74</v>
      </c>
      <c r="B76">
        <f ca="1">2*SUMPRODUCT(SIN(ROW(INDIRECT("1:"&amp;Dashboard!$C$6))*PI()*Dashboard!$C$3), SIN(ROW(INDIRECT("1:"&amp;Dashboard!$C$6))*PI()*A76))</f>
        <v>1.1791812883596644</v>
      </c>
      <c r="C76">
        <f ca="1">2*SUMPRODUCT(SIN(ROW(INDIRECT("1:"&amp;Dashboard!$C$7))*PI()*Dashboard!$C$3), SIN(ROW(INDIRECT("1:"&amp;Dashboard!$C$7))*PI()*A76))</f>
        <v>3.0420110874729226E-14</v>
      </c>
    </row>
    <row r="77" spans="1:3">
      <c r="A77">
        <v>0.75</v>
      </c>
      <c r="B77">
        <f ca="1">2*SUMPRODUCT(SIN(ROW(INDIRECT("1:"&amp;Dashboard!$C$6))*PI()*Dashboard!$C$3), SIN(ROW(INDIRECT("1:"&amp;Dashboard!$C$6))*PI()*A77))</f>
        <v>0.42148649050121101</v>
      </c>
      <c r="C77">
        <f ca="1">2*SUMPRODUCT(SIN(ROW(INDIRECT("1:"&amp;Dashboard!$C$7))*PI()*Dashboard!$C$3), SIN(ROW(INDIRECT("1:"&amp;Dashboard!$C$7))*PI()*A77))</f>
        <v>1.4455103780619579E-13</v>
      </c>
    </row>
    <row r="78" spans="1:3">
      <c r="A78">
        <v>0.76</v>
      </c>
      <c r="B78">
        <f ca="1">2*SUMPRODUCT(SIN(ROW(INDIRECT("1:"&amp;Dashboard!$C$6))*PI()*Dashboard!$C$3), SIN(ROW(INDIRECT("1:"&amp;Dashboard!$C$6))*PI()*A78))</f>
        <v>-0.47558131335253351</v>
      </c>
      <c r="C78">
        <f ca="1">2*SUMPRODUCT(SIN(ROW(INDIRECT("1:"&amp;Dashboard!$C$7))*PI()*Dashboard!$C$3), SIN(ROW(INDIRECT("1:"&amp;Dashboard!$C$7))*PI()*A78))</f>
        <v>8.3710816056736955E-14</v>
      </c>
    </row>
    <row r="79" spans="1:3">
      <c r="A79">
        <v>0.77</v>
      </c>
      <c r="B79">
        <f ca="1">2*SUMPRODUCT(SIN(ROW(INDIRECT("1:"&amp;Dashboard!$C$6))*PI()*Dashboard!$C$3), SIN(ROW(INDIRECT("1:"&amp;Dashboard!$C$6))*PI()*A79))</f>
        <v>-1.1602714012122717</v>
      </c>
      <c r="C79">
        <f ca="1">2*SUMPRODUCT(SIN(ROW(INDIRECT("1:"&amp;Dashboard!$C$7))*PI()*Dashboard!$C$3), SIN(ROW(INDIRECT("1:"&amp;Dashboard!$C$7))*PI()*A79))</f>
        <v>-3.3972824553529607E-14</v>
      </c>
    </row>
    <row r="80" spans="1:3">
      <c r="A80">
        <v>0.78</v>
      </c>
      <c r="B80">
        <f ca="1">2*SUMPRODUCT(SIN(ROW(INDIRECT("1:"&amp;Dashboard!$C$6))*PI()*Dashboard!$C$3), SIN(ROW(INDIRECT("1:"&amp;Dashboard!$C$6))*PI()*A80))</f>
        <v>-1.3733527586918137</v>
      </c>
      <c r="C80">
        <f ca="1">2*SUMPRODUCT(SIN(ROW(INDIRECT("1:"&amp;Dashboard!$C$7))*PI()*Dashboard!$C$3), SIN(ROW(INDIRECT("1:"&amp;Dashboard!$C$7))*PI()*A80))</f>
        <v>-4.1522341120980489E-14</v>
      </c>
    </row>
    <row r="81" spans="1:3">
      <c r="A81">
        <v>0.79</v>
      </c>
      <c r="B81">
        <f ca="1">2*SUMPRODUCT(SIN(ROW(INDIRECT("1:"&amp;Dashboard!$C$6))*PI()*Dashboard!$C$3), SIN(ROW(INDIRECT("1:"&amp;Dashboard!$C$6))*PI()*A81))</f>
        <v>-1.0452100860864064</v>
      </c>
      <c r="C81">
        <f ca="1">2*SUMPRODUCT(SIN(ROW(INDIRECT("1:"&amp;Dashboard!$C$7))*PI()*Dashboard!$C$3), SIN(ROW(INDIRECT("1:"&amp;Dashboard!$C$7))*PI()*A81))</f>
        <v>1.2634338020234279E-13</v>
      </c>
    </row>
    <row r="82" spans="1:3">
      <c r="A82">
        <v>0.8</v>
      </c>
      <c r="B82">
        <f ca="1">2*SUMPRODUCT(SIN(ROW(INDIRECT("1:"&amp;Dashboard!$C$6))*PI()*Dashboard!$C$3), SIN(ROW(INDIRECT("1:"&amp;Dashboard!$C$6))*PI()*A82))</f>
        <v>-0.31754497294736295</v>
      </c>
      <c r="C82">
        <f ca="1">2*SUMPRODUCT(SIN(ROW(INDIRECT("1:"&amp;Dashboard!$C$7))*PI()*Dashboard!$C$3), SIN(ROW(INDIRECT("1:"&amp;Dashboard!$C$7))*PI()*A82))</f>
        <v>-1.2634338020234223E-13</v>
      </c>
    </row>
    <row r="83" spans="1:3">
      <c r="A83">
        <v>0.81</v>
      </c>
      <c r="B83">
        <f ca="1">2*SUMPRODUCT(SIN(ROW(INDIRECT("1:"&amp;Dashboard!$C$6))*PI()*Dashboard!$C$3), SIN(ROW(INDIRECT("1:"&amp;Dashboard!$C$6))*PI()*A83))</f>
        <v>0.51669221016869449</v>
      </c>
      <c r="C83">
        <f ca="1">2*SUMPRODUCT(SIN(ROW(INDIRECT("1:"&amp;Dashboard!$C$7))*PI()*Dashboard!$C$3), SIN(ROW(INDIRECT("1:"&amp;Dashboard!$C$7))*PI()*A83))</f>
        <v>1.2034817586936672E-13</v>
      </c>
    </row>
    <row r="84" spans="1:3">
      <c r="A84">
        <v>0.82</v>
      </c>
      <c r="B84">
        <f ca="1">2*SUMPRODUCT(SIN(ROW(INDIRECT("1:"&amp;Dashboard!$C$6))*PI()*Dashboard!$C$3), SIN(ROW(INDIRECT("1:"&amp;Dashboard!$C$6))*PI()*A84))</f>
        <v>1.1301323767840268</v>
      </c>
      <c r="C84">
        <f ca="1">2*SUMPRODUCT(SIN(ROW(INDIRECT("1:"&amp;Dashboard!$C$7))*PI()*Dashboard!$C$3), SIN(ROW(INDIRECT("1:"&amp;Dashboard!$C$7))*PI()*A84))</f>
        <v>-2.9798385980939297E-13</v>
      </c>
    </row>
    <row r="85" spans="1:3">
      <c r="A85">
        <v>0.83</v>
      </c>
      <c r="B85">
        <f ca="1">2*SUMPRODUCT(SIN(ROW(INDIRECT("1:"&amp;Dashboard!$C$6))*PI()*Dashboard!$C$3), SIN(ROW(INDIRECT("1:"&amp;Dashboard!$C$6))*PI()*A85))</f>
        <v>1.2884246530435211</v>
      </c>
      <c r="C85">
        <f ca="1">2*SUMPRODUCT(SIN(ROW(INDIRECT("1:"&amp;Dashboard!$C$7))*PI()*Dashboard!$C$3), SIN(ROW(INDIRECT("1:"&amp;Dashboard!$C$7))*PI()*A85))</f>
        <v>1.0980105713542751E-13</v>
      </c>
    </row>
    <row r="86" spans="1:3">
      <c r="A86">
        <v>0.84</v>
      </c>
      <c r="B86">
        <f ca="1">2*SUMPRODUCT(SIN(ROW(INDIRECT("1:"&amp;Dashboard!$C$6))*PI()*Dashboard!$C$3), SIN(ROW(INDIRECT("1:"&amp;Dashboard!$C$6))*PI()*A86))</f>
        <v>0.93904779403229788</v>
      </c>
      <c r="C86">
        <f ca="1">2*SUMPRODUCT(SIN(ROW(INDIRECT("1:"&amp;Dashboard!$C$7))*PI()*Dashboard!$C$3), SIN(ROW(INDIRECT("1:"&amp;Dashboard!$C$7))*PI()*A86))</f>
        <v>1.3578027591165677E-13</v>
      </c>
    </row>
    <row r="87" spans="1:3">
      <c r="A87">
        <v>0.85</v>
      </c>
      <c r="B87">
        <f ca="1">2*SUMPRODUCT(SIN(ROW(INDIRECT("1:"&amp;Dashboard!$C$6))*PI()*Dashboard!$C$3), SIN(ROW(INDIRECT("1:"&amp;Dashboard!$C$6))*PI()*A87))</f>
        <v>0.22807646232233822</v>
      </c>
      <c r="C87">
        <f ca="1">2*SUMPRODUCT(SIN(ROW(INDIRECT("1:"&amp;Dashboard!$C$7))*PI()*Dashboard!$C$3), SIN(ROW(INDIRECT("1:"&amp;Dashboard!$C$7))*PI()*A87))</f>
        <v>6.7168492989822185E-14</v>
      </c>
    </row>
    <row r="88" spans="1:3">
      <c r="A88">
        <v>0.86</v>
      </c>
      <c r="B88">
        <f ca="1">2*SUMPRODUCT(SIN(ROW(INDIRECT("1:"&amp;Dashboard!$C$6))*PI()*Dashboard!$C$3), SIN(ROW(INDIRECT("1:"&amp;Dashboard!$C$6))*PI()*A88))</f>
        <v>-0.56020074422824562</v>
      </c>
      <c r="C88">
        <f ca="1">2*SUMPRODUCT(SIN(ROW(INDIRECT("1:"&amp;Dashboard!$C$7))*PI()*Dashboard!$C$3), SIN(ROW(INDIRECT("1:"&amp;Dashboard!$C$7))*PI()*A88))</f>
        <v>-2.4169555246089713E-13</v>
      </c>
    </row>
    <row r="89" spans="1:3">
      <c r="A89">
        <v>0.87</v>
      </c>
      <c r="B89">
        <f ca="1">2*SUMPRODUCT(SIN(ROW(INDIRECT("1:"&amp;Dashboard!$C$6))*PI()*Dashboard!$C$3), SIN(ROW(INDIRECT("1:"&amp;Dashboard!$C$6))*PI()*A89))</f>
        <v>-1.1161393563171342</v>
      </c>
      <c r="C89">
        <f ca="1">2*SUMPRODUCT(SIN(ROW(INDIRECT("1:"&amp;Dashboard!$C$7))*PI()*Dashboard!$C$3), SIN(ROW(INDIRECT("1:"&amp;Dashboard!$C$7))*PI()*A89))</f>
        <v>2.8954616482223992E-13</v>
      </c>
    </row>
    <row r="90" spans="1:3">
      <c r="A90">
        <v>0.88</v>
      </c>
      <c r="B90">
        <f ca="1">2*SUMPRODUCT(SIN(ROW(INDIRECT("1:"&amp;Dashboard!$C$6))*PI()*Dashboard!$C$3), SIN(ROW(INDIRECT("1:"&amp;Dashboard!$C$6))*PI()*A90))</f>
        <v>-1.2255922384320961</v>
      </c>
      <c r="C90">
        <f ca="1">2*SUMPRODUCT(SIN(ROW(INDIRECT("1:"&amp;Dashboard!$C$7))*PI()*Dashboard!$C$3), SIN(ROW(INDIRECT("1:"&amp;Dashboard!$C$7))*PI()*A90))</f>
        <v>8.393286066166239E-14</v>
      </c>
    </row>
    <row r="91" spans="1:3">
      <c r="A91">
        <v>0.89</v>
      </c>
      <c r="B91">
        <f ca="1">2*SUMPRODUCT(SIN(ROW(INDIRECT("1:"&amp;Dashboard!$C$6))*PI()*Dashboard!$C$3), SIN(ROW(INDIRECT("1:"&amp;Dashboard!$C$6))*PI()*A91))</f>
        <v>-0.85187766475775306</v>
      </c>
      <c r="C91">
        <f ca="1">2*SUMPRODUCT(SIN(ROW(INDIRECT("1:"&amp;Dashboard!$C$7))*PI()*Dashboard!$C$3), SIN(ROW(INDIRECT("1:"&amp;Dashboard!$C$7))*PI()*A91))</f>
        <v>-1.3500311979441926E-13</v>
      </c>
    </row>
    <row r="92" spans="1:3">
      <c r="A92">
        <v>0.9</v>
      </c>
      <c r="B92">
        <f ca="1">2*SUMPRODUCT(SIN(ROW(INDIRECT("1:"&amp;Dashboard!$C$6))*PI()*Dashboard!$C$3), SIN(ROW(INDIRECT("1:"&amp;Dashboard!$C$6))*PI()*A92))</f>
        <v>-0.14766552831235299</v>
      </c>
      <c r="C92">
        <f ca="1">2*SUMPRODUCT(SIN(ROW(INDIRECT("1:"&amp;Dashboard!$C$7))*PI()*Dashboard!$C$3), SIN(ROW(INDIRECT("1:"&amp;Dashboard!$C$7))*PI()*A92))</f>
        <v>-1.0991207943789173E-14</v>
      </c>
    </row>
    <row r="93" spans="1:3">
      <c r="A93">
        <v>0.91</v>
      </c>
      <c r="B93">
        <f ca="1">2*SUMPRODUCT(SIN(ROW(INDIRECT("1:"&amp;Dashboard!$C$6))*PI()*Dashboard!$C$3), SIN(ROW(INDIRECT("1:"&amp;Dashboard!$C$6))*PI()*A93))</f>
        <v>0.6069153749782763</v>
      </c>
      <c r="C93">
        <f ca="1">2*SUMPRODUCT(SIN(ROW(INDIRECT("1:"&amp;Dashboard!$C$7))*PI()*Dashboard!$C$3), SIN(ROW(INDIRECT("1:"&amp;Dashboard!$C$7))*PI()*A93))</f>
        <v>-1.5409895581797127E-13</v>
      </c>
    </row>
    <row r="94" spans="1:3">
      <c r="A94">
        <v>0.92</v>
      </c>
      <c r="B94">
        <f ca="1">2*SUMPRODUCT(SIN(ROW(INDIRECT("1:"&amp;Dashboard!$C$6))*PI()*Dashboard!$C$3), SIN(ROW(INDIRECT("1:"&amp;Dashboard!$C$6))*PI()*A94))</f>
        <v>1.1150552922492185</v>
      </c>
      <c r="C94">
        <f ca="1">2*SUMPRODUCT(SIN(ROW(INDIRECT("1:"&amp;Dashboard!$C$7))*PI()*Dashboard!$C$3), SIN(ROW(INDIRECT("1:"&amp;Dashboard!$C$7))*PI()*A94))</f>
        <v>-4.4186876380080246E-14</v>
      </c>
    </row>
    <row r="95" spans="1:3">
      <c r="A95">
        <v>0.93</v>
      </c>
      <c r="B95">
        <f ca="1">2*SUMPRODUCT(SIN(ROW(INDIRECT("1:"&amp;Dashboard!$C$6))*PI()*Dashboard!$C$3), SIN(ROW(INDIRECT("1:"&amp;Dashboard!$C$6))*PI()*A95))</f>
        <v>1.1793753666493685</v>
      </c>
      <c r="C95">
        <f ca="1">2*SUMPRODUCT(SIN(ROW(INDIRECT("1:"&amp;Dashboard!$C$7))*PI()*Dashboard!$C$3), SIN(ROW(INDIRECT("1:"&amp;Dashboard!$C$7))*PI()*A95))</f>
        <v>-1.2451151221171196E-13</v>
      </c>
    </row>
    <row r="96" spans="1:3">
      <c r="A96">
        <v>0.94</v>
      </c>
      <c r="B96">
        <f ca="1">2*SUMPRODUCT(SIN(ROW(INDIRECT("1:"&amp;Dashboard!$C$6))*PI()*Dashboard!$C$3), SIN(ROW(INDIRECT("1:"&amp;Dashboard!$C$6))*PI()*A96))</f>
        <v>0.77818892512694515</v>
      </c>
      <c r="C96">
        <f ca="1">2*SUMPRODUCT(SIN(ROW(INDIRECT("1:"&amp;Dashboard!$C$7))*PI()*Dashboard!$C$3), SIN(ROW(INDIRECT("1:"&amp;Dashboard!$C$7))*PI()*A96))</f>
        <v>-1.5470957848151526E-13</v>
      </c>
    </row>
    <row r="97" spans="1:3">
      <c r="A97">
        <v>0.95</v>
      </c>
      <c r="B97">
        <f ca="1">2*SUMPRODUCT(SIN(ROW(INDIRECT("1:"&amp;Dashboard!$C$6))*PI()*Dashboard!$C$3), SIN(ROW(INDIRECT("1:"&amp;Dashboard!$C$6))*PI()*A97))</f>
        <v>7.2591271410640534E-2</v>
      </c>
      <c r="C97">
        <f ca="1">2*SUMPRODUCT(SIN(ROW(INDIRECT("1:"&amp;Dashboard!$C$7))*PI()*Dashboard!$C$3), SIN(ROW(INDIRECT("1:"&amp;Dashboard!$C$7))*PI()*A97))</f>
        <v>1.1185496973098455E-13</v>
      </c>
    </row>
    <row r="98" spans="1:3">
      <c r="A98">
        <v>0.96</v>
      </c>
      <c r="B98">
        <f ca="1">2*SUMPRODUCT(SIN(ROW(INDIRECT("1:"&amp;Dashboard!$C$6))*PI()*Dashboard!$C$3), SIN(ROW(INDIRECT("1:"&amp;Dashboard!$C$6))*PI()*A98))</f>
        <v>-0.65785518419781341</v>
      </c>
      <c r="C98">
        <f ca="1">2*SUMPRODUCT(SIN(ROW(INDIRECT("1:"&amp;Dashboard!$C$7))*PI()*Dashboard!$C$3), SIN(ROW(INDIRECT("1:"&amp;Dashboard!$C$7))*PI()*A98))</f>
        <v>-1.1551870571224792E-13</v>
      </c>
    </row>
    <row r="99" spans="1:3">
      <c r="A99">
        <v>0.97</v>
      </c>
      <c r="B99">
        <f ca="1">2*SUMPRODUCT(SIN(ROW(INDIRECT("1:"&amp;Dashboard!$C$6))*PI()*Dashboard!$C$3), SIN(ROW(INDIRECT("1:"&amp;Dashboard!$C$6))*PI()*A99))</f>
        <v>-1.1253147896369176</v>
      </c>
      <c r="C99">
        <f ca="1">2*SUMPRODUCT(SIN(ROW(INDIRECT("1:"&amp;Dashboard!$C$7))*PI()*Dashboard!$C$3), SIN(ROW(INDIRECT("1:"&amp;Dashboard!$C$7))*PI()*A99))</f>
        <v>1.2023715356690516E-13</v>
      </c>
    </row>
    <row r="100" spans="1:3">
      <c r="A100">
        <v>0.98</v>
      </c>
      <c r="B100">
        <f ca="1">2*SUMPRODUCT(SIN(ROW(INDIRECT("1:"&amp;Dashboard!$C$6))*PI()*Dashboard!$C$3), SIN(ROW(INDIRECT("1:"&amp;Dashboard!$C$6))*PI()*A100))</f>
        <v>-1.1465381646071278</v>
      </c>
      <c r="C100">
        <f ca="1">2*SUMPRODUCT(SIN(ROW(INDIRECT("1:"&amp;Dashboard!$C$7))*PI()*Dashboard!$C$3), SIN(ROW(INDIRECT("1:"&amp;Dashboard!$C$7))*PI()*A100))</f>
        <v>4.3465231414075617E-14</v>
      </c>
    </row>
    <row r="101" spans="1:3">
      <c r="A101">
        <v>0.99</v>
      </c>
      <c r="B101">
        <f ca="1">2*SUMPRODUCT(SIN(ROW(INDIRECT("1:"&amp;Dashboard!$C$6))*PI()*Dashboard!$C$3), SIN(ROW(INDIRECT("1:"&amp;Dashboard!$C$6))*PI()*A101))</f>
        <v>-0.71434902958269342</v>
      </c>
      <c r="C101">
        <f ca="1">2*SUMPRODUCT(SIN(ROW(INDIRECT("1:"&amp;Dashboard!$C$7))*PI()*Dashboard!$C$3), SIN(ROW(INDIRECT("1:"&amp;Dashboard!$C$7))*PI()*A101))</f>
        <v>2.2801205368239112E-13</v>
      </c>
    </row>
    <row r="102" spans="1:3">
      <c r="A102">
        <v>1</v>
      </c>
      <c r="B102">
        <f ca="1">2*SUMPRODUCT(SIN(ROW(INDIRECT("1:"&amp;Dashboard!$C$6))*PI()*Dashboard!$C$3), SIN(ROW(INDIRECT("1:"&amp;Dashboard!$C$6))*PI()*A102))</f>
        <v>8.4350820748127081E-15</v>
      </c>
      <c r="C102">
        <f ca="1">2*SUMPRODUCT(SIN(ROW(INDIRECT("1:"&amp;Dashboard!$C$7))*PI()*Dashboard!$C$3), SIN(ROW(INDIRECT("1:"&amp;Dashboard!$C$7))*PI()*A102))</f>
        <v>-4.2158004918553305E-14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1"/>
  <sheetViews>
    <sheetView workbookViewId="0">
      <selection activeCell="F7" sqref="F7"/>
    </sheetView>
  </sheetViews>
  <sheetFormatPr defaultRowHeight="15"/>
  <cols>
    <col min="2" max="2" width="12.85546875" bestFit="1" customWidth="1"/>
    <col min="3" max="3" width="12.5703125" bestFit="1" customWidth="1"/>
    <col min="5" max="6" width="12.85546875" bestFit="1" customWidth="1"/>
    <col min="9" max="9" width="23.7109375" customWidth="1"/>
  </cols>
  <sheetData>
    <row r="1" spans="1:9">
      <c r="A1" s="3" t="s">
        <v>29</v>
      </c>
      <c r="B1" s="3" t="s">
        <v>37</v>
      </c>
      <c r="C1" s="3" t="s">
        <v>38</v>
      </c>
      <c r="D1" s="3"/>
      <c r="E1" s="3" t="s">
        <v>39</v>
      </c>
      <c r="F1" s="3" t="s">
        <v>40</v>
      </c>
      <c r="G1" s="3"/>
      <c r="H1" s="3" t="s">
        <v>41</v>
      </c>
      <c r="I1" s="3" t="s">
        <v>42</v>
      </c>
    </row>
    <row r="2" spans="1:9">
      <c r="A2">
        <v>1</v>
      </c>
      <c r="B2">
        <f>2*SIN(A2*PI()*Dashboard!$C$3)*(COS(A2*PI()*Dashboard!$C$9)-COS(A2*PI()*Dashboard!$C$10))/(A2*PI())</f>
        <v>0.42242689640466335</v>
      </c>
      <c r="C2">
        <f>SUM($B$2:B2)</f>
        <v>0.42242689640466335</v>
      </c>
      <c r="E2">
        <f>2*SIN(A2*PI()*Dashboard!$C$3)*(COS(A2*PI()*Dashboard!$C$11)-COS(A2*PI()*Dashboard!$C$12))/(A2*PI())</f>
        <v>3.6880491213786823E-2</v>
      </c>
      <c r="F2">
        <f>SUM($E$2:E2)</f>
        <v>3.6880491213786823E-2</v>
      </c>
      <c r="H2">
        <f>2*SIN(A2*PI()*Dashboard!$C$3)*(COS(A2*PI()*Dashboard!$C$13)-COS(A2*PI()*Dashboard!$C$14))/(A2*PI())</f>
        <v>0.76337650754491215</v>
      </c>
      <c r="I2">
        <f>SUM($H$2:H2)</f>
        <v>0.76337650754491215</v>
      </c>
    </row>
    <row r="3" spans="1:9">
      <c r="A3">
        <v>2</v>
      </c>
      <c r="B3">
        <f>2*SIN(A3*PI()*Dashboard!$C$3)*(COS(A3*PI()*Dashboard!$C$9)-COS(A3*PI()*Dashboard!$C$10))/(A3*PI())</f>
        <v>0.30854406826131864</v>
      </c>
      <c r="C3">
        <f>SUM($B$2:B3)</f>
        <v>0.73097096466598199</v>
      </c>
      <c r="E3">
        <f>2*SIN(A3*PI()*Dashboard!$C$3)*(COS(A3*PI()*Dashboard!$C$11)-COS(A3*PI()*Dashboard!$C$12))/(A3*PI())</f>
        <v>1.1476859218498574E-2</v>
      </c>
      <c r="F3">
        <f>SUM($E$2:E3)</f>
        <v>4.8357350432285395E-2</v>
      </c>
      <c r="H3">
        <f>2*SIN(A3*PI()*Dashboard!$C$3)*(COS(A3*PI()*Dashboard!$C$13)-COS(A3*PI()*Dashboard!$C$14))/(A3*PI())</f>
        <v>-0.3200209274798172</v>
      </c>
      <c r="I3">
        <f>SUM($H$2:H3)</f>
        <v>0.44335558006509496</v>
      </c>
    </row>
    <row r="4" spans="1:9">
      <c r="A4">
        <v>3</v>
      </c>
      <c r="B4">
        <f>2*SIN(A4*PI()*Dashboard!$C$3)*(COS(A4*PI()*Dashboard!$C$9)-COS(A4*PI()*Dashboard!$C$10))/(A4*PI())</f>
        <v>-0.25386792302842165</v>
      </c>
      <c r="C4">
        <f>SUM($B$2:B4)</f>
        <v>0.47710304163756034</v>
      </c>
      <c r="E4">
        <f>2*SIN(A4*PI()*Dashboard!$C$3)*(COS(A4*PI()*Dashboard!$C$11)-COS(A4*PI()*Dashboard!$C$12))/(A4*PI())</f>
        <v>1.7467448983445912E-2</v>
      </c>
      <c r="F4">
        <f>SUM($E$2:E4)</f>
        <v>6.58247994157313E-2</v>
      </c>
      <c r="H4">
        <f>2*SIN(A4*PI()*Dashboard!$C$3)*(COS(A4*PI()*Dashboard!$C$13)-COS(A4*PI()*Dashboard!$C$14))/(A4*PI())</f>
        <v>-4.4268998732573471E-2</v>
      </c>
      <c r="I4">
        <f>SUM($H$2:H4)</f>
        <v>0.39908658133252151</v>
      </c>
    </row>
    <row r="5" spans="1:9">
      <c r="A5">
        <v>4</v>
      </c>
      <c r="B5">
        <f>2*SIN(A5*PI()*Dashboard!$C$3)*(COS(A5*PI()*Dashboard!$C$9)-COS(A5*PI()*Dashboard!$C$10))/(A5*PI())</f>
        <v>-9.9506872027060794E-2</v>
      </c>
      <c r="C5">
        <f>SUM($B$2:B5)</f>
        <v>0.37759616961049958</v>
      </c>
      <c r="E5">
        <f>2*SIN(A5*PI()*Dashboard!$C$3)*(COS(A5*PI()*Dashboard!$C$11)-COS(A5*PI()*Dashboard!$C$12))/(A5*PI())</f>
        <v>3.2662357278634604E-2</v>
      </c>
      <c r="F5">
        <f>SUM($E$2:E5)</f>
        <v>9.8487156694365904E-2</v>
      </c>
      <c r="H5">
        <f>2*SIN(A5*PI()*Dashboard!$C$3)*(COS(A5*PI()*Dashboard!$C$13)-COS(A5*PI()*Dashboard!$C$14))/(A5*PI())</f>
        <v>6.684451474842619E-2</v>
      </c>
      <c r="I5">
        <f>SUM($H$2:H5)</f>
        <v>0.46593109608094768</v>
      </c>
    </row>
    <row r="6" spans="1:9">
      <c r="A6">
        <v>5</v>
      </c>
      <c r="B6">
        <f>2*SIN(A6*PI()*Dashboard!$C$3)*(COS(A6*PI()*Dashboard!$C$9)-COS(A6*PI()*Dashboard!$C$10))/(A6*PI())</f>
        <v>0</v>
      </c>
      <c r="C6">
        <f>SUM($B$2:B6)</f>
        <v>0.37759616961049958</v>
      </c>
      <c r="E6">
        <f>2*SIN(A6*PI()*Dashboard!$C$3)*(COS(A6*PI()*Dashboard!$C$11)-COS(A6*PI()*Dashboard!$C$12))/(A6*PI())</f>
        <v>9.7484919718336075E-4</v>
      </c>
      <c r="F6">
        <f>SUM($E$2:E6)</f>
        <v>9.9462005891549271E-2</v>
      </c>
      <c r="H6">
        <f>2*SIN(A6*PI()*Dashboard!$C$3)*(COS(A6*PI()*Dashboard!$C$13)-COS(A6*PI()*Dashboard!$C$14))/(A6*PI())</f>
        <v>3.886086021255903E-2</v>
      </c>
      <c r="I6">
        <f>SUM($H$2:H6)</f>
        <v>0.50479195629350671</v>
      </c>
    </row>
    <row r="7" spans="1:9">
      <c r="A7">
        <v>6</v>
      </c>
      <c r="B7">
        <f>2*SIN(A7*PI()*Dashboard!$C$3)*(COS(A7*PI()*Dashboard!$C$9)-COS(A7*PI()*Dashboard!$C$10))/(A7*PI())</f>
        <v>7.273745875951812E-2</v>
      </c>
      <c r="C7">
        <f>SUM($B$2:B7)</f>
        <v>0.45033362837001767</v>
      </c>
      <c r="E7">
        <f>2*SIN(A7*PI()*Dashboard!$C$3)*(COS(A7*PI()*Dashboard!$C$11)-COS(A7*PI()*Dashboard!$C$12))/(A7*PI())</f>
        <v>3.9138927425033151E-2</v>
      </c>
      <c r="F7">
        <f>SUM($E$2:E7)</f>
        <v>0.13860093331658241</v>
      </c>
      <c r="H7">
        <f>2*SIN(A7*PI()*Dashboard!$C$3)*(COS(A7*PI()*Dashboard!$C$13)-COS(A7*PI()*Dashboard!$C$14))/(A7*PI())</f>
        <v>-0.11187638618455129</v>
      </c>
      <c r="I7">
        <f>SUM($H$2:H7)</f>
        <v>0.39291557010895539</v>
      </c>
    </row>
    <row r="8" spans="1:9">
      <c r="A8">
        <v>7</v>
      </c>
      <c r="B8">
        <f>2*SIN(A8*PI()*Dashboard!$C$3)*(COS(A8*PI()*Dashboard!$C$9)-COS(A8*PI()*Dashboard!$C$10))/(A8*PI())</f>
        <v>6.5339678005816387E-2</v>
      </c>
      <c r="C8">
        <f>SUM($B$2:B8)</f>
        <v>0.51567330637583408</v>
      </c>
      <c r="E8">
        <f>2*SIN(A8*PI()*Dashboard!$C$3)*(COS(A8*PI()*Dashboard!$C$11)-COS(A8*PI()*Dashboard!$C$12))/(A8*PI())</f>
        <v>6.2583285802964503E-3</v>
      </c>
      <c r="F8">
        <f>SUM($E$2:E8)</f>
        <v>0.14485926189687887</v>
      </c>
      <c r="H8">
        <f>2*SIN(A8*PI()*Dashboard!$C$3)*(COS(A8*PI()*Dashboard!$C$13)-COS(A8*PI()*Dashboard!$C$14))/(A8*PI())</f>
        <v>6.3976476593860803E-4</v>
      </c>
      <c r="I8">
        <f>SUM($H$2:H8)</f>
        <v>0.39355533487489402</v>
      </c>
    </row>
    <row r="9" spans="1:9">
      <c r="A9">
        <v>8</v>
      </c>
      <c r="B9">
        <f>2*SIN(A9*PI()*Dashboard!$C$3)*(COS(A9*PI()*Dashboard!$C$9)-COS(A9*PI()*Dashboard!$C$10))/(A9*PI())</f>
        <v>-0.11092077365437718</v>
      </c>
      <c r="C9">
        <f>SUM($B$2:B9)</f>
        <v>0.40475253272145689</v>
      </c>
      <c r="E9">
        <f>2*SIN(A9*PI()*Dashboard!$C$3)*(COS(A9*PI()*Dashboard!$C$11)-COS(A9*PI()*Dashboard!$C$12))/(A9*PI())</f>
        <v>2.3498409700614894E-2</v>
      </c>
      <c r="F9">
        <f>SUM($E$2:E9)</f>
        <v>0.16835767159749376</v>
      </c>
      <c r="H9">
        <f>2*SIN(A9*PI()*Dashboard!$C$3)*(COS(A9*PI()*Dashboard!$C$13)-COS(A9*PI()*Dashboard!$C$14))/(A9*PI())</f>
        <v>8.742236395376228E-2</v>
      </c>
      <c r="I9">
        <f>SUM($H$2:H9)</f>
        <v>0.48097769882865632</v>
      </c>
    </row>
    <row r="10" spans="1:9">
      <c r="A10">
        <v>9</v>
      </c>
      <c r="B10">
        <f>2*SIN(A10*PI()*Dashboard!$C$3)*(COS(A10*PI()*Dashboard!$C$9)-COS(A10*PI()*Dashboard!$C$10))/(A10*PI())</f>
        <v>-4.0425258008566708E-2</v>
      </c>
      <c r="C10">
        <f>SUM($B$2:B10)</f>
        <v>0.36432727471289017</v>
      </c>
      <c r="E10">
        <f>2*SIN(A10*PI()*Dashboard!$C$3)*(COS(A10*PI()*Dashboard!$C$11)-COS(A10*PI()*Dashboard!$C$12))/(A10*PI())</f>
        <v>2.6999368667126079E-2</v>
      </c>
      <c r="F10">
        <f>SUM($E$2:E10)</f>
        <v>0.19535704026461984</v>
      </c>
      <c r="H10">
        <f>2*SIN(A10*PI()*Dashboard!$C$3)*(COS(A10*PI()*Dashboard!$C$13)-COS(A10*PI()*Dashboard!$C$14))/(A10*PI())</f>
        <v>-0.1035820766417416</v>
      </c>
      <c r="I10">
        <f>SUM($H$2:H10)</f>
        <v>0.37739562218691469</v>
      </c>
    </row>
    <row r="11" spans="1:9">
      <c r="A11">
        <v>10</v>
      </c>
      <c r="B11">
        <f>2*SIN(A11*PI()*Dashboard!$C$3)*(COS(A11*PI()*Dashboard!$C$9)-COS(A11*PI()*Dashboard!$C$10))/(A11*PI())</f>
        <v>0</v>
      </c>
      <c r="C11">
        <f>SUM($B$2:B11)</f>
        <v>0.36432727471289017</v>
      </c>
      <c r="E11">
        <f>2*SIN(A11*PI()*Dashboard!$C$3)*(COS(A11*PI()*Dashboard!$C$11)-COS(A11*PI()*Dashboard!$C$12))/(A11*PI())</f>
        <v>3.7571385524797752E-3</v>
      </c>
      <c r="F11">
        <f>SUM($E$2:E11)</f>
        <v>0.19911417881709961</v>
      </c>
      <c r="H11">
        <f>2*SIN(A11*PI()*Dashboard!$C$3)*(COS(A11*PI()*Dashboard!$C$13)-COS(A11*PI()*Dashboard!$C$14))/(A11*PI())</f>
        <v>-3.7571385524797752E-3</v>
      </c>
      <c r="I11">
        <f>SUM($H$2:H11)</f>
        <v>0.37363848363443491</v>
      </c>
    </row>
    <row r="12" spans="1:9">
      <c r="A12">
        <v>11</v>
      </c>
      <c r="B12">
        <f>2*SIN(A12*PI()*Dashboard!$C$3)*(COS(A12*PI()*Dashboard!$C$9)-COS(A12*PI()*Dashboard!$C$10))/(A12*PI())</f>
        <v>3.9970580262807753E-2</v>
      </c>
      <c r="C12">
        <f>SUM($B$2:B12)</f>
        <v>0.40429785497569792</v>
      </c>
      <c r="E12">
        <f>2*SIN(A12*PI()*Dashboard!$C$3)*(COS(A12*PI()*Dashboard!$C$11)-COS(A12*PI()*Dashboard!$C$12))/(A12*PI())</f>
        <v>3.9169907704959248E-2</v>
      </c>
      <c r="F12">
        <f>SUM($E$2:E12)</f>
        <v>0.23828408652205885</v>
      </c>
      <c r="H12">
        <f>2*SIN(A12*PI()*Dashboard!$C$3)*(COS(A12*PI()*Dashboard!$C$13)-COS(A12*PI()*Dashboard!$C$14))/(A12*PI())</f>
        <v>3.6551446384948699E-2</v>
      </c>
      <c r="I12">
        <f>SUM($H$2:H12)</f>
        <v>0.41018993001938364</v>
      </c>
    </row>
    <row r="13" spans="1:9">
      <c r="A13">
        <v>12</v>
      </c>
      <c r="B13">
        <f>2*SIN(A13*PI()*Dashboard!$C$3)*(COS(A13*PI()*Dashboard!$C$9)-COS(A13*PI()*Dashboard!$C$10))/(A13*PI())</f>
        <v>2.3867099791796374E-2</v>
      </c>
      <c r="C13">
        <f>SUM($B$2:B13)</f>
        <v>0.42816495476749428</v>
      </c>
      <c r="E13">
        <f>2*SIN(A13*PI()*Dashboard!$C$3)*(COS(A13*PI()*Dashboard!$C$11)-COS(A13*PI()*Dashboard!$C$12))/(A13*PI())</f>
        <v>2.415682802739412E-3</v>
      </c>
      <c r="F13">
        <f>SUM($E$2:E13)</f>
        <v>0.24069976932479825</v>
      </c>
      <c r="H13">
        <f>2*SIN(A13*PI()*Dashboard!$C$3)*(COS(A13*PI()*Dashboard!$C$13)-COS(A13*PI()*Dashboard!$C$14))/(A13*PI())</f>
        <v>-2.6282782594535783E-2</v>
      </c>
      <c r="I13">
        <f>SUM($H$2:H13)</f>
        <v>0.38390714742484788</v>
      </c>
    </row>
    <row r="14" spans="1:9">
      <c r="A14">
        <v>13</v>
      </c>
      <c r="B14">
        <f>2*SIN(A14*PI()*Dashboard!$C$3)*(COS(A14*PI()*Dashboard!$C$9)-COS(A14*PI()*Dashboard!$C$10))/(A14*PI())</f>
        <v>-7.6252208369712901E-2</v>
      </c>
      <c r="C14">
        <f>SUM($B$2:B14)</f>
        <v>0.35191274639778136</v>
      </c>
      <c r="E14">
        <f>2*SIN(A14*PI()*Dashboard!$C$3)*(COS(A14*PI()*Dashboard!$C$11)-COS(A14*PI()*Dashboard!$C$12))/(A14*PI())</f>
        <v>2.8818080068028929E-2</v>
      </c>
      <c r="F14">
        <f>SUM($E$2:E14)</f>
        <v>0.26951784939282719</v>
      </c>
      <c r="H14">
        <f>2*SIN(A14*PI()*Dashboard!$C$3)*(COS(A14*PI()*Dashboard!$C$13)-COS(A14*PI()*Dashboard!$C$14))/(A14*PI())</f>
        <v>-3.6868239898079226E-2</v>
      </c>
      <c r="I14">
        <f>SUM($H$2:H14)</f>
        <v>0.34703890752676864</v>
      </c>
    </row>
    <row r="15" spans="1:9">
      <c r="A15">
        <v>14</v>
      </c>
      <c r="B15">
        <f>2*SIN(A15*PI()*Dashboard!$C$3)*(COS(A15*PI()*Dashboard!$C$9)-COS(A15*PI()*Dashboard!$C$10))/(A15*PI())</f>
        <v>-2.2904894278768864E-2</v>
      </c>
      <c r="C15">
        <f>SUM($B$2:B15)</f>
        <v>0.32900785211901251</v>
      </c>
      <c r="E15">
        <f>2*SIN(A15*PI()*Dashboard!$C$3)*(COS(A15*PI()*Dashboard!$C$11)-COS(A15*PI()*Dashboard!$C$12))/(A15*PI())</f>
        <v>2.0577105963398845E-2</v>
      </c>
      <c r="F15">
        <f>SUM($E$2:E15)</f>
        <v>0.29009495535622604</v>
      </c>
      <c r="H15">
        <f>2*SIN(A15*PI()*Dashboard!$C$3)*(COS(A15*PI()*Dashboard!$C$13)-COS(A15*PI()*Dashboard!$C$14))/(A15*PI())</f>
        <v>2.3277883153700178E-3</v>
      </c>
      <c r="I15">
        <f>SUM($H$2:H15)</f>
        <v>0.34936669584213864</v>
      </c>
    </row>
    <row r="16" spans="1:9">
      <c r="A16">
        <v>15</v>
      </c>
      <c r="B16">
        <f>2*SIN(A16*PI()*Dashboard!$C$3)*(COS(A16*PI()*Dashboard!$C$9)-COS(A16*PI()*Dashboard!$C$10))/(A16*PI())</f>
        <v>0</v>
      </c>
      <c r="C16">
        <f>SUM($B$2:B16)</f>
        <v>0.32900785211901251</v>
      </c>
      <c r="E16">
        <f>2*SIN(A16*PI()*Dashboard!$C$3)*(COS(A16*PI()*Dashboard!$C$11)-COS(A16*PI()*Dashboard!$C$12))/(A16*PI())</f>
        <v>7.9425353081303898E-3</v>
      </c>
      <c r="F16">
        <f>SUM($E$2:E16)</f>
        <v>0.29803749066435642</v>
      </c>
      <c r="H16">
        <f>2*SIN(A16*PI()*Dashboard!$C$3)*(COS(A16*PI()*Dashboard!$C$13)-COS(A16*PI()*Dashboard!$C$14))/(A16*PI())</f>
        <v>3.0593375172034126E-2</v>
      </c>
      <c r="I16">
        <f>SUM($H$2:H16)</f>
        <v>0.37996007101417278</v>
      </c>
    </row>
    <row r="17" spans="1:9">
      <c r="A17">
        <v>16</v>
      </c>
      <c r="B17">
        <f>2*SIN(A17*PI()*Dashboard!$C$3)*(COS(A17*PI()*Dashboard!$C$9)-COS(A17*PI()*Dashboard!$C$10))/(A17*PI())</f>
        <v>2.7006357592227182E-2</v>
      </c>
      <c r="C17">
        <f>SUM($B$2:B17)</f>
        <v>0.3560142097112397</v>
      </c>
      <c r="E17">
        <f>2*SIN(A17*PI()*Dashboard!$C$3)*(COS(A17*PI()*Dashboard!$C$11)-COS(A17*PI()*Dashboard!$C$12))/(A17*PI())</f>
        <v>3.6990669016615282E-2</v>
      </c>
      <c r="F17">
        <f>SUM($E$2:E17)</f>
        <v>0.33502815968097172</v>
      </c>
      <c r="H17">
        <f>2*SIN(A17*PI()*Dashboard!$C$3)*(COS(A17*PI()*Dashboard!$C$13)-COS(A17*PI()*Dashboard!$C$14))/(A17*PI())</f>
        <v>-6.3997026608842461E-2</v>
      </c>
      <c r="I17">
        <f>SUM($H$2:H17)</f>
        <v>0.3159630444053303</v>
      </c>
    </row>
    <row r="18" spans="1:9">
      <c r="A18">
        <v>17</v>
      </c>
      <c r="B18">
        <f>2*SIN(A18*PI()*Dashboard!$C$3)*(COS(A18*PI()*Dashboard!$C$9)-COS(A18*PI()*Dashboard!$C$10))/(A18*PI())</f>
        <v>6.3753177926798568E-3</v>
      </c>
      <c r="C18">
        <f>SUM($B$2:B18)</f>
        <v>0.36238952750391956</v>
      </c>
      <c r="E18">
        <f>2*SIN(A18*PI()*Dashboard!$C$3)*(COS(A18*PI()*Dashboard!$C$11)-COS(A18*PI()*Dashboard!$C$12))/(A18*PI())</f>
        <v>3.3765275282931015E-4</v>
      </c>
      <c r="F18">
        <f>SUM($E$2:E18)</f>
        <v>0.33536581243380104</v>
      </c>
      <c r="H18">
        <f>2*SIN(A18*PI()*Dashboard!$C$3)*(COS(A18*PI()*Dashboard!$C$13)-COS(A18*PI()*Dashboard!$C$14))/(A18*PI())</f>
        <v>3.3540745481212023E-4</v>
      </c>
      <c r="I18">
        <f>SUM($H$2:H18)</f>
        <v>0.31629845186014244</v>
      </c>
    </row>
    <row r="19" spans="1:9">
      <c r="A19">
        <v>18</v>
      </c>
      <c r="B19">
        <f>2*SIN(A19*PI()*Dashboard!$C$3)*(COS(A19*PI()*Dashboard!$C$9)-COS(A19*PI()*Dashboard!$C$10))/(A19*PI())</f>
        <v>-5.9487925372293901E-2</v>
      </c>
      <c r="C19">
        <f>SUM($B$2:B19)</f>
        <v>0.30290160213162565</v>
      </c>
      <c r="E19">
        <f>2*SIN(A19*PI()*Dashboard!$C$3)*(COS(A19*PI()*Dashboard!$C$11)-COS(A19*PI()*Dashboard!$C$12))/(A19*PI())</f>
        <v>3.2765677950423358E-2</v>
      </c>
      <c r="F19">
        <f>SUM($E$2:E19)</f>
        <v>0.36813149038422438</v>
      </c>
      <c r="H19">
        <f>2*SIN(A19*PI()*Dashboard!$C$3)*(COS(A19*PI()*Dashboard!$C$13)-COS(A19*PI()*Dashboard!$C$14))/(A19*PI())</f>
        <v>2.672224742187054E-2</v>
      </c>
      <c r="I19">
        <f>SUM($H$2:H19)</f>
        <v>0.34302069928201295</v>
      </c>
    </row>
    <row r="20" spans="1:9">
      <c r="A20">
        <v>19</v>
      </c>
      <c r="B20">
        <f>2*SIN(A20*PI()*Dashboard!$C$3)*(COS(A20*PI()*Dashboard!$C$9)-COS(A20*PI()*Dashboard!$C$10))/(A20*PI())</f>
        <v>-1.4190199712137933E-2</v>
      </c>
      <c r="C20">
        <f>SUM($B$2:B20)</f>
        <v>0.28871140241948773</v>
      </c>
      <c r="E20">
        <f>2*SIN(A20*PI()*Dashboard!$C$3)*(COS(A20*PI()*Dashboard!$C$11)-COS(A20*PI()*Dashboard!$C$12))/(A20*PI())</f>
        <v>1.4149676113929054E-2</v>
      </c>
      <c r="F20">
        <f>SUM($E$2:E20)</f>
        <v>0.38228116649815341</v>
      </c>
      <c r="H20">
        <f>2*SIN(A20*PI()*Dashboard!$C$3)*(COS(A20*PI()*Dashboard!$C$13)-COS(A20*PI()*Dashboard!$C$14))/(A20*PI())</f>
        <v>-4.1031976294322078E-2</v>
      </c>
      <c r="I20">
        <f>SUM($H$2:H20)</f>
        <v>0.30198872298769086</v>
      </c>
    </row>
    <row r="21" spans="1:9">
      <c r="A21">
        <v>20</v>
      </c>
      <c r="B21">
        <f>2*SIN(A21*PI()*Dashboard!$C$3)*(COS(A21*PI()*Dashboard!$C$9)-COS(A21*PI()*Dashboard!$C$10))/(A21*PI())</f>
        <v>0</v>
      </c>
      <c r="C21">
        <f>SUM($B$2:B21)</f>
        <v>0.28871140241948773</v>
      </c>
      <c r="E21">
        <f>2*SIN(A21*PI()*Dashboard!$C$3)*(COS(A21*PI()*Dashboard!$C$11)-COS(A21*PI()*Dashboard!$C$12))/(A21*PI())</f>
        <v>1.2928143940845998E-2</v>
      </c>
      <c r="F21">
        <f>SUM($E$2:E21)</f>
        <v>0.39520931043899943</v>
      </c>
      <c r="H21">
        <f>2*SIN(A21*PI()*Dashboard!$C$3)*(COS(A21*PI()*Dashboard!$C$13)-COS(A21*PI()*Dashboard!$C$14))/(A21*PI())</f>
        <v>-1.2928143940845998E-2</v>
      </c>
      <c r="I21">
        <f>SUM($H$2:H21)</f>
        <v>0.28906057904684485</v>
      </c>
    </row>
    <row r="22" spans="1:9">
      <c r="A22">
        <v>21</v>
      </c>
      <c r="B22">
        <f>2*SIN(A22*PI()*Dashboard!$C$3)*(COS(A22*PI()*Dashboard!$C$9)-COS(A22*PI()*Dashboard!$C$10))/(A22*PI())</f>
        <v>1.970891817210749E-2</v>
      </c>
      <c r="C22">
        <f>SUM($B$2:B22)</f>
        <v>0.30842032059159524</v>
      </c>
      <c r="E22">
        <f>2*SIN(A22*PI()*Dashboard!$C$3)*(COS(A22*PI()*Dashboard!$C$11)-COS(A22*PI()*Dashboard!$C$12))/(A22*PI())</f>
        <v>3.2896873678548266E-2</v>
      </c>
      <c r="F22">
        <f>SUM($E$2:E22)</f>
        <v>0.42810618411754769</v>
      </c>
      <c r="H22">
        <f>2*SIN(A22*PI()*Dashboard!$C$3)*(COS(A22*PI()*Dashboard!$C$13)-COS(A22*PI()*Dashboard!$C$14))/(A22*PI())</f>
        <v>4.4402368118846049E-3</v>
      </c>
      <c r="I22">
        <f>SUM($H$2:H22)</f>
        <v>0.29350081585872945</v>
      </c>
    </row>
    <row r="23" spans="1:9">
      <c r="A23">
        <v>22</v>
      </c>
      <c r="B23">
        <f>2*SIN(A23*PI()*Dashboard!$C$3)*(COS(A23*PI()*Dashboard!$C$9)-COS(A23*PI()*Dashboard!$C$10))/(A23*PI())</f>
        <v>-3.2869580796964191E-3</v>
      </c>
      <c r="C23">
        <f>SUM($B$2:B23)</f>
        <v>0.30513336251189882</v>
      </c>
      <c r="E23">
        <f>2*SIN(A23*PI()*Dashboard!$C$3)*(COS(A23*PI()*Dashboard!$C$11)-COS(A23*PI()*Dashboard!$C$12))/(A23*PI())</f>
        <v>1.4544674115420333E-4</v>
      </c>
      <c r="F23">
        <f>SUM($E$2:E23)</f>
        <v>0.42825163085870188</v>
      </c>
      <c r="H23">
        <f>2*SIN(A23*PI()*Dashboard!$C$3)*(COS(A23*PI()*Dashboard!$C$13)-COS(A23*PI()*Dashboard!$C$14))/(A23*PI())</f>
        <v>3.141511338542216E-3</v>
      </c>
      <c r="I23">
        <f>SUM($H$2:H23)</f>
        <v>0.29664232719727168</v>
      </c>
    </row>
    <row r="24" spans="1:9">
      <c r="A24">
        <v>23</v>
      </c>
      <c r="B24">
        <f>2*SIN(A24*PI()*Dashboard!$C$3)*(COS(A24*PI()*Dashboard!$C$9)-COS(A24*PI()*Dashboard!$C$10))/(A24*PI())</f>
        <v>-4.8866103559323075E-2</v>
      </c>
      <c r="C24">
        <f>SUM($B$2:B24)</f>
        <v>0.25626725895257574</v>
      </c>
      <c r="E24">
        <f>2*SIN(A24*PI()*Dashboard!$C$3)*(COS(A24*PI()*Dashboard!$C$11)-COS(A24*PI()*Dashboard!$C$12))/(A24*PI())</f>
        <v>3.4866965514003319E-2</v>
      </c>
      <c r="F24">
        <f>SUM($E$2:E24)</f>
        <v>0.46311859637270519</v>
      </c>
      <c r="H24">
        <f>2*SIN(A24*PI()*Dashboard!$C$3)*(COS(A24*PI()*Dashboard!$C$13)-COS(A24*PI()*Dashboard!$C$14))/(A24*PI())</f>
        <v>-4.0025897331649983E-2</v>
      </c>
      <c r="I24">
        <f>SUM($H$2:H24)</f>
        <v>0.25661642986562172</v>
      </c>
    </row>
    <row r="25" spans="1:9">
      <c r="A25">
        <v>24</v>
      </c>
      <c r="B25">
        <f>2*SIN(A25*PI()*Dashboard!$C$3)*(COS(A25*PI()*Dashboard!$C$9)-COS(A25*PI()*Dashboard!$C$10))/(A25*PI())</f>
        <v>-8.8300117808436957E-3</v>
      </c>
      <c r="C25">
        <f>SUM($B$2:B25)</f>
        <v>0.24743724717173204</v>
      </c>
      <c r="E25">
        <f>2*SIN(A25*PI()*Dashboard!$C$3)*(COS(A25*PI()*Dashboard!$C$11)-COS(A25*PI()*Dashboard!$C$12))/(A25*PI())</f>
        <v>8.4285387271032415E-3</v>
      </c>
      <c r="F25">
        <f>SUM($E$2:E25)</f>
        <v>0.47154713509980845</v>
      </c>
      <c r="H25">
        <f>2*SIN(A25*PI()*Dashboard!$C$3)*(COS(A25*PI()*Dashboard!$C$13)-COS(A25*PI()*Dashboard!$C$14))/(A25*PI())</f>
        <v>4.0147305374045535E-4</v>
      </c>
      <c r="I25">
        <f>SUM($H$2:H25)</f>
        <v>0.25701790291936216</v>
      </c>
    </row>
    <row r="26" spans="1:9">
      <c r="A26">
        <v>25</v>
      </c>
      <c r="B26">
        <f>2*SIN(A26*PI()*Dashboard!$C$3)*(COS(A26*PI()*Dashboard!$C$9)-COS(A26*PI()*Dashboard!$C$10))/(A26*PI())</f>
        <v>0</v>
      </c>
      <c r="C26">
        <f>SUM($B$2:B26)</f>
        <v>0.24743724717173204</v>
      </c>
      <c r="E26">
        <f>2*SIN(A26*PI()*Dashboard!$C$3)*(COS(A26*PI()*Dashboard!$C$11)-COS(A26*PI()*Dashboard!$C$12))/(A26*PI())</f>
        <v>1.8006326323142061E-2</v>
      </c>
      <c r="F26">
        <f>SUM($E$2:E26)</f>
        <v>0.48955346142295053</v>
      </c>
      <c r="H26">
        <f>2*SIN(A26*PI()*Dashboard!$C$3)*(COS(A26*PI()*Dashboard!$C$13)-COS(A26*PI()*Dashboard!$C$14))/(A26*PI())</f>
        <v>1.8006326323142044E-2</v>
      </c>
      <c r="I26">
        <f>SUM($H$2:H26)</f>
        <v>0.27502422924250419</v>
      </c>
    </row>
    <row r="27" spans="1:9">
      <c r="A27">
        <v>26</v>
      </c>
      <c r="B27">
        <f>2*SIN(A27*PI()*Dashboard!$C$3)*(COS(A27*PI()*Dashboard!$C$9)-COS(A27*PI()*Dashboard!$C$10))/(A27*PI())</f>
        <v>1.4826213971784718E-2</v>
      </c>
      <c r="C27">
        <f>SUM($B$2:B27)</f>
        <v>0.26226346114351679</v>
      </c>
      <c r="E27">
        <f>2*SIN(A27*PI()*Dashboard!$C$3)*(COS(A27*PI()*Dashboard!$C$11)-COS(A27*PI()*Dashboard!$C$12))/(A27*PI())</f>
        <v>2.7413081250452651E-2</v>
      </c>
      <c r="F27">
        <f>SUM($E$2:E27)</f>
        <v>0.51696654267340314</v>
      </c>
      <c r="H27">
        <f>2*SIN(A27*PI()*Dashboard!$C$3)*(COS(A27*PI()*Dashboard!$C$13)-COS(A27*PI()*Dashboard!$C$14))/(A27*PI())</f>
        <v>-4.2239295222237364E-2</v>
      </c>
      <c r="I27">
        <f>SUM($H$2:H27)</f>
        <v>0.23278493402026684</v>
      </c>
    </row>
    <row r="28" spans="1:9">
      <c r="A28">
        <v>27</v>
      </c>
      <c r="B28">
        <f>2*SIN(A28*PI()*Dashboard!$C$3)*(COS(A28*PI()*Dashboard!$C$9)-COS(A28*PI()*Dashboard!$C$10))/(A28*PI())</f>
        <v>-9.3046655560950816E-3</v>
      </c>
      <c r="C28">
        <f>SUM($B$2:B28)</f>
        <v>0.25295879558742168</v>
      </c>
      <c r="E28">
        <f>2*SIN(A28*PI()*Dashboard!$C$3)*(COS(A28*PI()*Dashboard!$C$11)-COS(A28*PI()*Dashboard!$C$12))/(A28*PI())</f>
        <v>1.6832764719115832E-3</v>
      </c>
      <c r="F28">
        <f>SUM($E$2:E28)</f>
        <v>0.51864981914531472</v>
      </c>
      <c r="H28">
        <f>2*SIN(A28*PI()*Dashboard!$C$3)*(COS(A28*PI()*Dashboard!$C$13)-COS(A28*PI()*Dashboard!$C$14))/(A28*PI())</f>
        <v>-2.6655961514748987E-3</v>
      </c>
      <c r="I28">
        <f>SUM($H$2:H28)</f>
        <v>0.23011933786879193</v>
      </c>
    </row>
    <row r="29" spans="1:9">
      <c r="A29">
        <v>28</v>
      </c>
      <c r="B29">
        <f>2*SIN(A29*PI()*Dashboard!$C$3)*(COS(A29*PI()*Dashboard!$C$9)-COS(A29*PI()*Dashboard!$C$10))/(A29*PI())</f>
        <v>-4.104940918386342E-2</v>
      </c>
      <c r="C29">
        <f>SUM($B$2:B29)</f>
        <v>0.21190938640355828</v>
      </c>
      <c r="E29">
        <f>2*SIN(A29*PI()*Dashboard!$C$3)*(COS(A29*PI()*Dashboard!$C$11)-COS(A29*PI()*Dashboard!$C$12))/(A29*PI())</f>
        <v>3.4899285802359813E-2</v>
      </c>
      <c r="F29">
        <f>SUM($E$2:E29)</f>
        <v>0.55354910494767451</v>
      </c>
      <c r="H29">
        <f>2*SIN(A29*PI()*Dashboard!$C$3)*(COS(A29*PI()*Dashboard!$C$13)-COS(A29*PI()*Dashboard!$C$14))/(A29*PI())</f>
        <v>6.1501233815036017E-3</v>
      </c>
      <c r="I29">
        <f>SUM($H$2:H29)</f>
        <v>0.23626946125029555</v>
      </c>
    </row>
    <row r="30" spans="1:9">
      <c r="A30">
        <v>29</v>
      </c>
      <c r="B30">
        <f>2*SIN(A30*PI()*Dashboard!$C$3)*(COS(A30*PI()*Dashboard!$C$9)-COS(A30*PI()*Dashboard!$C$10))/(A30*PI())</f>
        <v>-5.1382272505419721E-3</v>
      </c>
      <c r="C30">
        <f>SUM($B$2:B30)</f>
        <v>0.2067711591530163</v>
      </c>
      <c r="E30">
        <f>2*SIN(A30*PI()*Dashboard!$C$3)*(COS(A30*PI()*Dashboard!$C$11)-COS(A30*PI()*Dashboard!$C$12))/(A30*PI())</f>
        <v>3.9806322173466429E-3</v>
      </c>
      <c r="F30">
        <f>SUM($E$2:E30)</f>
        <v>0.55752973716502119</v>
      </c>
      <c r="H30">
        <f>2*SIN(A30*PI()*Dashboard!$C$3)*(COS(A30*PI()*Dashboard!$C$13)-COS(A30*PI()*Dashboard!$C$14))/(A30*PI())</f>
        <v>-1.3714629634310064E-2</v>
      </c>
      <c r="I30">
        <f>SUM($H$2:H30)</f>
        <v>0.22255483161598549</v>
      </c>
    </row>
    <row r="31" spans="1:9">
      <c r="A31">
        <v>30</v>
      </c>
      <c r="B31">
        <f>2*SIN(A31*PI()*Dashboard!$C$3)*(COS(A31*PI()*Dashboard!$C$9)-COS(A31*PI()*Dashboard!$C$10))/(A31*PI())</f>
        <v>0</v>
      </c>
      <c r="C31">
        <f>SUM($B$2:B31)</f>
        <v>0.2067711591530163</v>
      </c>
      <c r="E31">
        <f>2*SIN(A31*PI()*Dashboard!$C$3)*(COS(A31*PI()*Dashboard!$C$11)-COS(A31*PI()*Dashboard!$C$12))/(A31*PI())</f>
        <v>2.2473038596412507E-2</v>
      </c>
      <c r="F31">
        <f>SUM($E$2:E31)</f>
        <v>0.58000277576143366</v>
      </c>
      <c r="H31">
        <f>2*SIN(A31*PI()*Dashboard!$C$3)*(COS(A31*PI()*Dashboard!$C$13)-COS(A31*PI()*Dashboard!$C$14))/(A31*PI())</f>
        <v>-2.2473038596412507E-2</v>
      </c>
      <c r="I31">
        <f>SUM($H$2:H31)</f>
        <v>0.20008179301957299</v>
      </c>
    </row>
    <row r="32" spans="1:9">
      <c r="A32">
        <v>31</v>
      </c>
      <c r="B32">
        <f>2*SIN(A32*PI()*Dashboard!$C$3)*(COS(A32*PI()*Dashboard!$C$9)-COS(A32*PI()*Dashboard!$C$10))/(A32*PI())</f>
        <v>1.1212387402934398E-2</v>
      </c>
      <c r="C32">
        <f>SUM($B$2:B32)</f>
        <v>0.2179835465559507</v>
      </c>
      <c r="E32">
        <f>2*SIN(A32*PI()*Dashboard!$C$3)*(COS(A32*PI()*Dashboard!$C$11)-COS(A32*PI()*Dashboard!$C$12))/(A32*PI())</f>
        <v>2.1209031847877067E-2</v>
      </c>
      <c r="F32">
        <f>SUM($E$2:E32)</f>
        <v>0.6012118076093107</v>
      </c>
      <c r="H32">
        <f>2*SIN(A32*PI()*Dashboard!$C$3)*(COS(A32*PI()*Dashboard!$C$13)-COS(A32*PI()*Dashboard!$C$14))/(A32*PI())</f>
        <v>3.2019724267171437E-5</v>
      </c>
      <c r="I32">
        <f>SUM($H$2:H32)</f>
        <v>0.20011381274384016</v>
      </c>
    </row>
    <row r="33" spans="1:9">
      <c r="A33">
        <v>32</v>
      </c>
      <c r="B33">
        <f>2*SIN(A33*PI()*Dashboard!$C$3)*(COS(A33*PI()*Dashboard!$C$9)-COS(A33*PI()*Dashboard!$C$10))/(A33*PI())</f>
        <v>-1.3248526410089603E-2</v>
      </c>
      <c r="C33">
        <f>SUM($B$2:B33)</f>
        <v>0.20473502014586109</v>
      </c>
      <c r="E33">
        <f>2*SIN(A33*PI()*Dashboard!$C$3)*(COS(A33*PI()*Dashboard!$C$11)-COS(A33*PI()*Dashboard!$C$12))/(A33*PI())</f>
        <v>4.5526143462168295E-3</v>
      </c>
      <c r="F33">
        <f>SUM($E$2:E33)</f>
        <v>0.60576442195552749</v>
      </c>
      <c r="H33">
        <f>2*SIN(A33*PI()*Dashboard!$C$3)*(COS(A33*PI()*Dashboard!$C$13)-COS(A33*PI()*Dashboard!$C$14))/(A33*PI())</f>
        <v>8.6959120638727717E-3</v>
      </c>
      <c r="I33">
        <f>SUM($H$2:H33)</f>
        <v>0.20880972480771293</v>
      </c>
    </row>
    <row r="34" spans="1:9">
      <c r="A34">
        <v>33</v>
      </c>
      <c r="B34">
        <f>2*SIN(A34*PI()*Dashboard!$C$3)*(COS(A34*PI()*Dashboard!$C$9)-COS(A34*PI()*Dashboard!$C$10))/(A34*PI())</f>
        <v>-3.4743784761573929E-2</v>
      </c>
      <c r="C34">
        <f>SUM($B$2:B34)</f>
        <v>0.16999123538428718</v>
      </c>
      <c r="E34">
        <f>2*SIN(A34*PI()*Dashboard!$C$3)*(COS(A34*PI()*Dashboard!$C$11)-COS(A34*PI()*Dashboard!$C$12))/(A34*PI())</f>
        <v>3.2915903423517322E-2</v>
      </c>
      <c r="F34">
        <f>SUM($E$2:E34)</f>
        <v>0.63868032537904484</v>
      </c>
      <c r="H34">
        <f>2*SIN(A34*PI()*Dashboard!$C$3)*(COS(A34*PI()*Dashboard!$C$13)-COS(A34*PI()*Dashboard!$C$14))/(A34*PI())</f>
        <v>-3.6583902376090979E-2</v>
      </c>
      <c r="I34">
        <f>SUM($H$2:H34)</f>
        <v>0.17222582243162193</v>
      </c>
    </row>
    <row r="35" spans="1:9">
      <c r="A35">
        <v>34</v>
      </c>
      <c r="B35">
        <f>2*SIN(A35*PI()*Dashboard!$C$3)*(COS(A35*PI()*Dashboard!$C$9)-COS(A35*PI()*Dashboard!$C$10))/(A35*PI())</f>
        <v>-2.4243474049319099E-3</v>
      </c>
      <c r="C35">
        <f>SUM($B$2:B35)</f>
        <v>0.16756688797935526</v>
      </c>
      <c r="E35">
        <f>2*SIN(A35*PI()*Dashboard!$C$3)*(COS(A35*PI()*Dashboard!$C$11)-COS(A35*PI()*Dashboard!$C$12))/(A35*PI())</f>
        <v>1.1522318790975383E-3</v>
      </c>
      <c r="F35">
        <f>SUM($E$2:E35)</f>
        <v>0.63983255725814236</v>
      </c>
      <c r="H35">
        <f>2*SIN(A35*PI()*Dashboard!$C$3)*(COS(A35*PI()*Dashboard!$C$13)-COS(A35*PI()*Dashboard!$C$14))/(A35*PI())</f>
        <v>1.2721155258343718E-3</v>
      </c>
      <c r="I35">
        <f>SUM($H$2:H35)</f>
        <v>0.1734979379574563</v>
      </c>
    </row>
    <row r="36" spans="1:9">
      <c r="A36">
        <v>35</v>
      </c>
      <c r="B36">
        <f>2*SIN(A36*PI()*Dashboard!$C$3)*(COS(A36*PI()*Dashboard!$C$9)-COS(A36*PI()*Dashboard!$C$10))/(A36*PI())</f>
        <v>0</v>
      </c>
      <c r="C36">
        <f>SUM($B$2:B36)</f>
        <v>0.16756688797935526</v>
      </c>
      <c r="E36">
        <f>2*SIN(A36*PI()*Dashboard!$C$3)*(COS(A36*PI()*Dashboard!$C$11)-COS(A36*PI()*Dashboard!$C$12))/(A36*PI())</f>
        <v>2.5732662647783379E-2</v>
      </c>
      <c r="F36">
        <f>SUM($E$2:E36)</f>
        <v>0.66556521990592576</v>
      </c>
      <c r="H36">
        <f>2*SIN(A36*PI()*Dashboard!$C$3)*(COS(A36*PI()*Dashboard!$C$13)-COS(A36*PI()*Dashboard!$C$14))/(A36*PI())</f>
        <v>6.680615672606788E-3</v>
      </c>
      <c r="I36">
        <f>SUM($H$2:H36)</f>
        <v>0.18017855363006308</v>
      </c>
    </row>
    <row r="37" spans="1:9">
      <c r="A37">
        <v>36</v>
      </c>
      <c r="B37">
        <f>2*SIN(A37*PI()*Dashboard!$C$3)*(COS(A37*PI()*Dashboard!$C$9)-COS(A37*PI()*Dashboard!$C$10))/(A37*PI())</f>
        <v>8.3646606621297654E-3</v>
      </c>
      <c r="C37">
        <f>SUM($B$2:B37)</f>
        <v>0.17593154864148502</v>
      </c>
      <c r="E37">
        <f>2*SIN(A37*PI()*Dashboard!$C$3)*(COS(A37*PI()*Dashboard!$C$11)-COS(A37*PI()*Dashboard!$C$12))/(A37*PI())</f>
        <v>1.4996153318542503E-2</v>
      </c>
      <c r="F37">
        <f>SUM($E$2:E37)</f>
        <v>0.6805613732244683</v>
      </c>
      <c r="H37">
        <f>2*SIN(A37*PI()*Dashboard!$C$3)*(COS(A37*PI()*Dashboard!$C$13)-COS(A37*PI()*Dashboard!$C$14))/(A37*PI())</f>
        <v>-2.3360813980672267E-2</v>
      </c>
      <c r="I37">
        <f>SUM($H$2:H37)</f>
        <v>0.1568177396493908</v>
      </c>
    </row>
    <row r="38" spans="1:9">
      <c r="A38">
        <v>37</v>
      </c>
      <c r="B38">
        <f>2*SIN(A38*PI()*Dashboard!$C$3)*(COS(A38*PI()*Dashboard!$C$9)-COS(A38*PI()*Dashboard!$C$10))/(A38*PI())</f>
        <v>-1.5844340382849091E-2</v>
      </c>
      <c r="C38">
        <f>SUM($B$2:B38)</f>
        <v>0.16008720825863593</v>
      </c>
      <c r="E38">
        <f>2*SIN(A38*PI()*Dashboard!$C$3)*(COS(A38*PI()*Dashboard!$C$11)-COS(A38*PI()*Dashboard!$C$12))/(A38*PI())</f>
        <v>8.1835400630811683E-3</v>
      </c>
      <c r="F38">
        <f>SUM($E$2:E38)</f>
        <v>0.6887449132875495</v>
      </c>
      <c r="H38">
        <f>2*SIN(A38*PI()*Dashboard!$C$3)*(COS(A38*PI()*Dashboard!$C$13)-COS(A38*PI()*Dashboard!$C$14))/(A38*PI())</f>
        <v>-9.8562715840520235E-3</v>
      </c>
      <c r="I38">
        <f>SUM($H$2:H38)</f>
        <v>0.14696146806533877</v>
      </c>
    </row>
    <row r="39" spans="1:9">
      <c r="A39">
        <v>38</v>
      </c>
      <c r="B39">
        <f>2*SIN(A39*PI()*Dashboard!$C$3)*(COS(A39*PI()*Dashboard!$C$9)-COS(A39*PI()*Dashboard!$C$10))/(A39*PI())</f>
        <v>-2.9354594646946414E-2</v>
      </c>
      <c r="C39">
        <f>SUM($B$2:B39)</f>
        <v>0.1307326136116895</v>
      </c>
      <c r="E39">
        <f>2*SIN(A39*PI()*Dashboard!$C$3)*(COS(A39*PI()*Dashboard!$C$11)-COS(A39*PI()*Dashboard!$C$12))/(A39*PI())</f>
        <v>2.9226641317981913E-2</v>
      </c>
      <c r="F39">
        <f>SUM($E$2:E39)</f>
        <v>0.71797155460553141</v>
      </c>
      <c r="H39">
        <f>2*SIN(A39*PI()*Dashboard!$C$3)*(COS(A39*PI()*Dashboard!$C$13)-COS(A39*PI()*Dashboard!$C$14))/(A39*PI())</f>
        <v>1.2795332896450252E-4</v>
      </c>
      <c r="I39">
        <f>SUM($H$2:H39)</f>
        <v>0.14708942139430328</v>
      </c>
    </row>
    <row r="40" spans="1:9">
      <c r="A40">
        <v>39</v>
      </c>
      <c r="B40">
        <f>2*SIN(A40*PI()*Dashboard!$C$3)*(COS(A40*PI()*Dashboard!$C$9)-COS(A40*PI()*Dashboard!$C$10))/(A40*PI())</f>
        <v>-3.5429197388997606E-4</v>
      </c>
      <c r="C40">
        <f>SUM($B$2:B40)</f>
        <v>0.13037832163779953</v>
      </c>
      <c r="E40">
        <f>2*SIN(A40*PI()*Dashboard!$C$3)*(COS(A40*PI()*Dashboard!$C$11)-COS(A40*PI()*Dashboard!$C$12))/(A40*PI())</f>
        <v>3.0306582556878626E-5</v>
      </c>
      <c r="F40">
        <f>SUM($E$2:E40)</f>
        <v>0.71800186118808829</v>
      </c>
      <c r="H40">
        <f>2*SIN(A40*PI()*Dashboard!$C$3)*(COS(A40*PI()*Dashboard!$C$13)-COS(A40*PI()*Dashboard!$C$14))/(A40*PI())</f>
        <v>-7.0148693144706875E-4</v>
      </c>
      <c r="I40">
        <f>SUM($H$2:H40)</f>
        <v>0.14638793446285622</v>
      </c>
    </row>
    <row r="41" spans="1:9">
      <c r="A41">
        <v>40</v>
      </c>
      <c r="B41">
        <f>2*SIN(A41*PI()*Dashboard!$C$3)*(COS(A41*PI()*Dashboard!$C$9)-COS(A41*PI()*Dashboard!$C$10))/(A41*PI())</f>
        <v>0</v>
      </c>
      <c r="C41">
        <f>SUM($B$2:B41)</f>
        <v>0.13037832163779953</v>
      </c>
      <c r="E41">
        <f>2*SIN(A41*PI()*Dashboard!$C$3)*(COS(A41*PI()*Dashboard!$C$11)-COS(A41*PI()*Dashboard!$C$12))/(A41*PI())</f>
        <v>2.7382248278162869E-2</v>
      </c>
      <c r="F41">
        <f>SUM($E$2:E41)</f>
        <v>0.74538410946625111</v>
      </c>
      <c r="H41">
        <f>2*SIN(A41*PI()*Dashboard!$C$3)*(COS(A41*PI()*Dashboard!$C$13)-COS(A41*PI()*Dashboard!$C$14))/(A41*PI())</f>
        <v>-2.7382248278162869E-2</v>
      </c>
      <c r="I41">
        <f>SUM($H$2:H41)</f>
        <v>0.11900568618469336</v>
      </c>
    </row>
    <row r="42" spans="1:9">
      <c r="A42">
        <v>41</v>
      </c>
      <c r="B42">
        <f>2*SIN(A42*PI()*Dashboard!$C$3)*(COS(A42*PI()*Dashboard!$C$9)-COS(A42*PI()*Dashboard!$C$10))/(A42*PI())</f>
        <v>6.0306534819147594E-3</v>
      </c>
      <c r="C42">
        <f>SUM($B$2:B42)</f>
        <v>0.13640897511971428</v>
      </c>
      <c r="E42">
        <f>2*SIN(A42*PI()*Dashboard!$C$3)*(COS(A42*PI()*Dashboard!$C$11)-COS(A42*PI()*Dashboard!$C$12))/(A42*PI())</f>
        <v>9.4217552827025319E-3</v>
      </c>
      <c r="F42">
        <f>SUM($E$2:E42)</f>
        <v>0.75480586474895361</v>
      </c>
      <c r="H42">
        <f>2*SIN(A42*PI()*Dashboard!$C$3)*(COS(A42*PI()*Dashboard!$C$13)-COS(A42*PI()*Dashboard!$C$14))/(A42*PI())</f>
        <v>2.0028786529353261E-3</v>
      </c>
      <c r="I42">
        <f>SUM($H$2:H42)</f>
        <v>0.12100856483762869</v>
      </c>
    </row>
    <row r="43" spans="1:9">
      <c r="A43">
        <v>42</v>
      </c>
      <c r="B43">
        <f>2*SIN(A43*PI()*Dashboard!$C$3)*(COS(A43*PI()*Dashboard!$C$9)-COS(A43*PI()*Dashboard!$C$10))/(A43*PI())</f>
        <v>-1.7478408432348439E-2</v>
      </c>
      <c r="C43">
        <f>SUM($B$2:B43)</f>
        <v>0.11893056668736585</v>
      </c>
      <c r="E43">
        <f>2*SIN(A43*PI()*Dashboard!$C$3)*(COS(A43*PI()*Dashboard!$C$11)-COS(A43*PI()*Dashboard!$C$12))/(A43*PI())</f>
        <v>1.1930387543906766E-2</v>
      </c>
      <c r="F43">
        <f>SUM($E$2:E43)</f>
        <v>0.76673625229286035</v>
      </c>
      <c r="H43">
        <f>2*SIN(A43*PI()*Dashboard!$C$3)*(COS(A43*PI()*Dashboard!$C$13)-COS(A43*PI()*Dashboard!$C$14))/(A43*PI())</f>
        <v>5.5480208884416734E-3</v>
      </c>
      <c r="I43">
        <f>SUM($H$2:H43)</f>
        <v>0.12655658572607037</v>
      </c>
    </row>
    <row r="44" spans="1:9">
      <c r="A44">
        <v>43</v>
      </c>
      <c r="B44">
        <f>2*SIN(A44*PI()*Dashboard!$C$3)*(COS(A44*PI()*Dashboard!$C$9)-COS(A44*PI()*Dashboard!$C$10))/(A44*PI())</f>
        <v>-2.4579944405119739E-2</v>
      </c>
      <c r="C44">
        <f>SUM($B$2:B44)</f>
        <v>9.435062228224611E-2</v>
      </c>
      <c r="E44">
        <f>2*SIN(A44*PI()*Dashboard!$C$3)*(COS(A44*PI()*Dashboard!$C$11)-COS(A44*PI()*Dashboard!$C$12))/(A44*PI())</f>
        <v>2.4339273149015232E-2</v>
      </c>
      <c r="F44">
        <f>SUM($E$2:E44)</f>
        <v>0.79107552544187554</v>
      </c>
      <c r="H44">
        <f>2*SIN(A44*PI()*Dashboard!$C$3)*(COS(A44*PI()*Dashboard!$C$13)-COS(A44*PI()*Dashboard!$C$14))/(A44*PI())</f>
        <v>-2.6934246924929541E-2</v>
      </c>
      <c r="I44">
        <f>SUM($H$2:H44)</f>
        <v>9.9622338801140825E-2</v>
      </c>
    </row>
    <row r="45" spans="1:9">
      <c r="A45">
        <v>44</v>
      </c>
      <c r="B45">
        <f>2*SIN(A45*PI()*Dashboard!$C$3)*(COS(A45*PI()*Dashboard!$C$9)-COS(A45*PI()*Dashboard!$C$10))/(A45*PI())</f>
        <v>1.2530288120234667E-3</v>
      </c>
      <c r="C45">
        <f>SUM($B$2:B45)</f>
        <v>9.5603651094269576E-2</v>
      </c>
      <c r="E45">
        <f>2*SIN(A45*PI()*Dashboard!$C$3)*(COS(A45*PI()*Dashboard!$C$11)-COS(A45*PI()*Dashboard!$C$12))/(A45*PI())</f>
        <v>4.465071713094187E-4</v>
      </c>
      <c r="F45">
        <f>SUM($E$2:E45)</f>
        <v>0.79152203261318499</v>
      </c>
      <c r="H45">
        <f>2*SIN(A45*PI()*Dashboard!$C$3)*(COS(A45*PI()*Dashboard!$C$13)-COS(A45*PI()*Dashboard!$C$14))/(A45*PI())</f>
        <v>-1.6995359833328852E-3</v>
      </c>
      <c r="I45">
        <f>SUM($H$2:H45)</f>
        <v>9.7922802817807936E-2</v>
      </c>
    </row>
    <row r="46" spans="1:9">
      <c r="A46">
        <v>45</v>
      </c>
      <c r="B46">
        <f>2*SIN(A46*PI()*Dashboard!$C$3)*(COS(A46*PI()*Dashboard!$C$9)-COS(A46*PI()*Dashboard!$C$10))/(A46*PI())</f>
        <v>0</v>
      </c>
      <c r="C46">
        <f>SUM($B$2:B46)</f>
        <v>9.5603651094269576E-2</v>
      </c>
      <c r="E46">
        <f>2*SIN(A46*PI()*Dashboard!$C$3)*(COS(A46*PI()*Dashboard!$C$11)-COS(A46*PI()*Dashboard!$C$12))/(A46*PI())</f>
        <v>2.7261979447624447E-2</v>
      </c>
      <c r="F46">
        <f>SUM($E$2:E46)</f>
        <v>0.81878401206080942</v>
      </c>
      <c r="H46">
        <f>2*SIN(A46*PI()*Dashboard!$C$3)*(COS(A46*PI()*Dashboard!$C$13)-COS(A46*PI()*Dashboard!$C$14))/(A46*PI())</f>
        <v>6.8388395503291444E-4</v>
      </c>
      <c r="I46">
        <f>SUM($H$2:H46)</f>
        <v>9.8606686772840846E-2</v>
      </c>
    </row>
    <row r="47" spans="1:9">
      <c r="A47">
        <v>46</v>
      </c>
      <c r="B47">
        <f>2*SIN(A47*PI()*Dashboard!$C$3)*(COS(A47*PI()*Dashboard!$C$9)-COS(A47*PI()*Dashboard!$C$10))/(A47*PI())</f>
        <v>4.0716851922689926E-3</v>
      </c>
      <c r="C47">
        <f>SUM($B$2:B47)</f>
        <v>9.9675336286538574E-2</v>
      </c>
      <c r="E47">
        <f>2*SIN(A47*PI()*Dashboard!$C$3)*(COS(A47*PI()*Dashboard!$C$11)-COS(A47*PI()*Dashboard!$C$12))/(A47*PI())</f>
        <v>4.9783249644197239E-3</v>
      </c>
      <c r="F47">
        <f>SUM($E$2:E47)</f>
        <v>0.82376233702522916</v>
      </c>
      <c r="H47">
        <f>2*SIN(A47*PI()*Dashboard!$C$3)*(COS(A47*PI()*Dashboard!$C$13)-COS(A47*PI()*Dashboard!$C$14))/(A47*PI())</f>
        <v>-9.0500101566887182E-3</v>
      </c>
      <c r="I47">
        <f>SUM($H$2:H47)</f>
        <v>8.9556676616152131E-2</v>
      </c>
    </row>
    <row r="48" spans="1:9">
      <c r="A48">
        <v>47</v>
      </c>
      <c r="B48">
        <f>2*SIN(A48*PI()*Dashboard!$C$3)*(COS(A48*PI()*Dashboard!$C$9)-COS(A48*PI()*Dashboard!$C$10))/(A48*PI())</f>
        <v>-1.8380210731509805E-2</v>
      </c>
      <c r="C48">
        <f>SUM($B$2:B48)</f>
        <v>8.1295125555028769E-2</v>
      </c>
      <c r="E48">
        <f>2*SIN(A48*PI()*Dashboard!$C$3)*(COS(A48*PI()*Dashboard!$C$11)-COS(A48*PI()*Dashboard!$C$12))/(A48*PI())</f>
        <v>1.5175105037685896E-2</v>
      </c>
      <c r="F48">
        <f>SUM($E$2:E48)</f>
        <v>0.8389374420629151</v>
      </c>
      <c r="H48">
        <f>2*SIN(A48*PI()*Dashboard!$C$3)*(COS(A48*PI()*Dashboard!$C$13)-COS(A48*PI()*Dashboard!$C$14))/(A48*PI())</f>
        <v>-1.7115555514624889E-2</v>
      </c>
      <c r="I48">
        <f>SUM($H$2:H48)</f>
        <v>7.2441121101527242E-2</v>
      </c>
    </row>
    <row r="49" spans="1:9">
      <c r="A49">
        <v>48</v>
      </c>
      <c r="B49">
        <f>2*SIN(A49*PI()*Dashboard!$C$3)*(COS(A49*PI()*Dashboard!$C$9)-COS(A49*PI()*Dashboard!$C$10))/(A49*PI())</f>
        <v>-2.0257818969533194E-2</v>
      </c>
      <c r="C49">
        <f>SUM($B$2:B49)</f>
        <v>6.1037306585495575E-2</v>
      </c>
      <c r="E49">
        <f>2*SIN(A49*PI()*Dashboard!$C$3)*(COS(A49*PI()*Dashboard!$C$11)-COS(A49*PI()*Dashboard!$C$12))/(A49*PI())</f>
        <v>1.8872670631400697E-2</v>
      </c>
      <c r="F49">
        <f>SUM($E$2:E49)</f>
        <v>0.85781011269431584</v>
      </c>
      <c r="H49">
        <f>2*SIN(A49*PI()*Dashboard!$C$3)*(COS(A49*PI()*Dashboard!$C$13)-COS(A49*PI()*Dashboard!$C$14))/(A49*PI())</f>
        <v>1.385148338132495E-3</v>
      </c>
      <c r="I49">
        <f>SUM($H$2:H49)</f>
        <v>7.3826269439659739E-2</v>
      </c>
    </row>
    <row r="50" spans="1:9">
      <c r="A50">
        <v>49</v>
      </c>
      <c r="B50">
        <f>2*SIN(A50*PI()*Dashboard!$C$3)*(COS(A50*PI()*Dashboard!$C$9)-COS(A50*PI()*Dashboard!$C$10))/(A50*PI())</f>
        <v>2.5046195594176208E-3</v>
      </c>
      <c r="C50">
        <f>SUM($B$2:B50)</f>
        <v>6.3541926144913191E-2</v>
      </c>
      <c r="E50">
        <f>2*SIN(A50*PI()*Dashboard!$C$3)*(COS(A50*PI()*Dashboard!$C$11)-COS(A50*PI()*Dashboard!$C$12))/(A50*PI())</f>
        <v>2.0215309965008008E-3</v>
      </c>
      <c r="F50">
        <f>SUM($E$2:E50)</f>
        <v>0.85983164369081666</v>
      </c>
      <c r="H50">
        <f>2*SIN(A50*PI()*Dashboard!$C$3)*(COS(A50*PI()*Dashboard!$C$13)-COS(A50*PI()*Dashboard!$C$14))/(A50*PI())</f>
        <v>2.7232883999700743E-3</v>
      </c>
      <c r="I50">
        <f>SUM($H$2:H50)</f>
        <v>7.6549557839629814E-2</v>
      </c>
    </row>
    <row r="51" spans="1:9">
      <c r="A51">
        <v>50</v>
      </c>
      <c r="B51">
        <f>2*SIN(A51*PI()*Dashboard!$C$3)*(COS(A51*PI()*Dashboard!$C$9)-COS(A51*PI()*Dashboard!$C$10))/(A51*PI())</f>
        <v>0</v>
      </c>
      <c r="C51">
        <f>SUM($B$2:B51)</f>
        <v>6.3541926144913191E-2</v>
      </c>
      <c r="E51">
        <f>2*SIN(A51*PI()*Dashboard!$C$3)*(COS(A51*PI()*Dashboard!$C$11)-COS(A51*PI()*Dashboard!$C$12))/(A51*PI())</f>
        <v>2.5464790894703253E-2</v>
      </c>
      <c r="F51">
        <f>SUM($E$2:E51)</f>
        <v>0.88529643458551988</v>
      </c>
      <c r="H51">
        <f>2*SIN(A51*PI()*Dashboard!$C$3)*(COS(A51*PI()*Dashboard!$C$13)-COS(A51*PI()*Dashboard!$C$14))/(A51*PI())</f>
        <v>-2.5464790894703253E-2</v>
      </c>
      <c r="I51">
        <f>SUM($H$2:H51)</f>
        <v>5.1084766944926557E-2</v>
      </c>
    </row>
    <row r="52" spans="1:9">
      <c r="A52">
        <v>51</v>
      </c>
      <c r="B52">
        <f>2*SIN(A52*PI()*Dashboard!$C$3)*(COS(A52*PI()*Dashboard!$C$9)-COS(A52*PI()*Dashboard!$C$10))/(A52*PI())</f>
        <v>2.4063991845386236E-3</v>
      </c>
      <c r="C52">
        <f>SUM($B$2:B52)</f>
        <v>6.5948325329451815E-2</v>
      </c>
      <c r="E52">
        <f>2*SIN(A52*PI()*Dashboard!$C$3)*(COS(A52*PI()*Dashboard!$C$11)-COS(A52*PI()*Dashboard!$C$12))/(A52*PI())</f>
        <v>1.9422552711480855E-3</v>
      </c>
      <c r="F52">
        <f>SUM($E$2:E52)</f>
        <v>0.88723868985666798</v>
      </c>
      <c r="H52">
        <f>2*SIN(A52*PI()*Dashboard!$C$3)*(COS(A52*PI()*Dashboard!$C$13)-COS(A52*PI()*Dashboard!$C$14))/(A52*PI())</f>
        <v>2.6164927764419994E-3</v>
      </c>
      <c r="I52">
        <f>SUM($H$2:H52)</f>
        <v>5.3701259721368556E-2</v>
      </c>
    </row>
    <row r="53" spans="1:9">
      <c r="A53">
        <v>52</v>
      </c>
      <c r="B53">
        <f>2*SIN(A53*PI()*Dashboard!$C$3)*(COS(A53*PI()*Dashboard!$C$9)-COS(A53*PI()*Dashboard!$C$10))/(A53*PI())</f>
        <v>-1.8699525202645846E-2</v>
      </c>
      <c r="C53">
        <f>SUM($B$2:B53)</f>
        <v>4.7248800126805969E-2</v>
      </c>
      <c r="E53">
        <f>2*SIN(A53*PI()*Dashboard!$C$3)*(COS(A53*PI()*Dashboard!$C$11)-COS(A53*PI()*Dashboard!$C$12))/(A53*PI())</f>
        <v>1.7420926736677406E-2</v>
      </c>
      <c r="F53">
        <f>SUM($E$2:E53)</f>
        <v>0.90465961659334537</v>
      </c>
      <c r="H53">
        <f>2*SIN(A53*PI()*Dashboard!$C$3)*(COS(A53*PI()*Dashboard!$C$13)-COS(A53*PI()*Dashboard!$C$14))/(A53*PI())</f>
        <v>1.2785984659684393E-3</v>
      </c>
      <c r="I53">
        <f>SUM($H$2:H53)</f>
        <v>5.4979858187336993E-2</v>
      </c>
    </row>
    <row r="54" spans="1:9">
      <c r="A54">
        <v>53</v>
      </c>
      <c r="B54">
        <f>2*SIN(A54*PI()*Dashboard!$C$3)*(COS(A54*PI()*Dashboard!$C$9)-COS(A54*PI()*Dashboard!$C$10))/(A54*PI())</f>
        <v>-1.6299432158131528E-2</v>
      </c>
      <c r="C54">
        <f>SUM($B$2:B54)</f>
        <v>3.0949367968674441E-2</v>
      </c>
      <c r="E54">
        <f>2*SIN(A54*PI()*Dashboard!$C$3)*(COS(A54*PI()*Dashboard!$C$11)-COS(A54*PI()*Dashboard!$C$12))/(A54*PI())</f>
        <v>1.3457168618325471E-2</v>
      </c>
      <c r="F54">
        <f>SUM($E$2:E54)</f>
        <v>0.91811678521167084</v>
      </c>
      <c r="H54">
        <f>2*SIN(A54*PI()*Dashboard!$C$3)*(COS(A54*PI()*Dashboard!$C$13)-COS(A54*PI()*Dashboard!$C$14))/(A54*PI())</f>
        <v>-1.5177945456365664E-2</v>
      </c>
      <c r="I54">
        <f>SUM($H$2:H54)</f>
        <v>3.9801912730971327E-2</v>
      </c>
    </row>
    <row r="55" spans="1:9">
      <c r="A55">
        <v>54</v>
      </c>
      <c r="B55">
        <f>2*SIN(A55*PI()*Dashboard!$C$3)*(COS(A55*PI()*Dashboard!$C$9)-COS(A55*PI()*Dashboard!$C$10))/(A55*PI())</f>
        <v>3.4684725711920618E-3</v>
      </c>
      <c r="C55">
        <f>SUM($B$2:B55)</f>
        <v>3.4417840539866504E-2</v>
      </c>
      <c r="E55">
        <f>2*SIN(A55*PI()*Dashboard!$C$3)*(COS(A55*PI()*Dashboard!$C$11)-COS(A55*PI()*Dashboard!$C$12))/(A55*PI())</f>
        <v>4.240795340060834E-3</v>
      </c>
      <c r="F55">
        <f>SUM($E$2:E55)</f>
        <v>0.92235758055173167</v>
      </c>
      <c r="H55">
        <f>2*SIN(A55*PI()*Dashboard!$C$3)*(COS(A55*PI()*Dashboard!$C$13)-COS(A55*PI()*Dashboard!$C$14))/(A55*PI())</f>
        <v>-7.7092679112528949E-3</v>
      </c>
      <c r="I55">
        <f>SUM($H$2:H55)</f>
        <v>3.2092644819718436E-2</v>
      </c>
    </row>
    <row r="56" spans="1:9">
      <c r="A56">
        <v>55</v>
      </c>
      <c r="B56">
        <f>2*SIN(A56*PI()*Dashboard!$C$3)*(COS(A56*PI()*Dashboard!$C$9)-COS(A56*PI()*Dashboard!$C$10))/(A56*PI())</f>
        <v>0</v>
      </c>
      <c r="C56">
        <f>SUM($B$2:B56)</f>
        <v>3.4417840539866504E-2</v>
      </c>
      <c r="E56">
        <f>2*SIN(A56*PI()*Dashboard!$C$3)*(COS(A56*PI()*Dashboard!$C$11)-COS(A56*PI()*Dashboard!$C$12))/(A56*PI())</f>
        <v>2.2305255911692776E-2</v>
      </c>
      <c r="F56">
        <f>SUM($E$2:E56)</f>
        <v>0.94466283646342442</v>
      </c>
      <c r="H56">
        <f>2*SIN(A56*PI()*Dashboard!$C$3)*(COS(A56*PI()*Dashboard!$C$13)-COS(A56*PI()*Dashboard!$C$14))/(A56*PI())</f>
        <v>5.5954141775418572E-4</v>
      </c>
      <c r="I56">
        <f>SUM($H$2:H56)</f>
        <v>3.2652186237472625E-2</v>
      </c>
    </row>
    <row r="57" spans="1:9">
      <c r="A57">
        <v>56</v>
      </c>
      <c r="B57">
        <f>2*SIN(A57*PI()*Dashboard!$C$3)*(COS(A57*PI()*Dashboard!$C$9)-COS(A57*PI()*Dashboard!$C$10))/(A57*PI())</f>
        <v>9.8452263801859915E-4</v>
      </c>
      <c r="C57">
        <f>SUM($B$2:B57)</f>
        <v>3.5402363177885102E-2</v>
      </c>
      <c r="E57">
        <f>2*SIN(A57*PI()*Dashboard!$C$3)*(COS(A57*PI()*Dashboard!$C$11)-COS(A57*PI()*Dashboard!$C$12))/(A57*PI())</f>
        <v>3.5082706317179322E-4</v>
      </c>
      <c r="F57">
        <f>SUM($E$2:E57)</f>
        <v>0.94501366352659621</v>
      </c>
      <c r="H57">
        <f>2*SIN(A57*PI()*Dashboard!$C$3)*(COS(A57*PI()*Dashboard!$C$13)-COS(A57*PI()*Dashboard!$C$14))/(A57*PI())</f>
        <v>-1.3353497011903924E-3</v>
      </c>
      <c r="I57">
        <f>SUM($H$2:H57)</f>
        <v>3.1316836536282235E-2</v>
      </c>
    </row>
    <row r="58" spans="1:9">
      <c r="A58">
        <v>57</v>
      </c>
      <c r="B58">
        <f>2*SIN(A58*PI()*Dashboard!$C$3)*(COS(A58*PI()*Dashboard!$C$9)-COS(A58*PI()*Dashboard!$C$10))/(A58*PI())</f>
        <v>-1.854276507754617E-2</v>
      </c>
      <c r="C58">
        <f>SUM($B$2:B58)</f>
        <v>1.6859598100338932E-2</v>
      </c>
      <c r="E58">
        <f>2*SIN(A58*PI()*Dashboard!$C$3)*(COS(A58*PI()*Dashboard!$C$11)-COS(A58*PI()*Dashboard!$C$12))/(A58*PI())</f>
        <v>1.8361206059783083E-2</v>
      </c>
      <c r="F58">
        <f>SUM($E$2:E58)</f>
        <v>0.9633748695863793</v>
      </c>
      <c r="H58">
        <f>2*SIN(A58*PI()*Dashboard!$C$3)*(COS(A58*PI()*Dashboard!$C$13)-COS(A58*PI()*Dashboard!$C$14))/(A58*PI())</f>
        <v>-2.0318817855648361E-2</v>
      </c>
      <c r="I58">
        <f>SUM($H$2:H58)</f>
        <v>1.0998018680633874E-2</v>
      </c>
    </row>
    <row r="59" spans="1:9">
      <c r="A59">
        <v>58</v>
      </c>
      <c r="B59">
        <f>2*SIN(A59*PI()*Dashboard!$C$3)*(COS(A59*PI()*Dashboard!$C$9)-COS(A59*PI()*Dashboard!$C$10))/(A59*PI())</f>
        <v>-1.2656778519976609E-2</v>
      </c>
      <c r="C59">
        <f>SUM($B$2:B59)</f>
        <v>4.2028195803623224E-3</v>
      </c>
      <c r="E59">
        <f>2*SIN(A59*PI()*Dashboard!$C$3)*(COS(A59*PI()*Dashboard!$C$11)-COS(A59*PI()*Dashboard!$C$12))/(A59*PI())</f>
        <v>8.639246152484353E-3</v>
      </c>
      <c r="F59">
        <f>SUM($E$2:E59)</f>
        <v>0.97201411573886365</v>
      </c>
      <c r="H59">
        <f>2*SIN(A59*PI()*Dashboard!$C$3)*(COS(A59*PI()*Dashboard!$C$13)-COS(A59*PI()*Dashboard!$C$14))/(A59*PI())</f>
        <v>4.0175323674922553E-3</v>
      </c>
      <c r="I59">
        <f>SUM($H$2:H59)</f>
        <v>1.501555104812613E-2</v>
      </c>
    </row>
    <row r="60" spans="1:9">
      <c r="A60">
        <v>59</v>
      </c>
      <c r="B60">
        <f>2*SIN(A60*PI()*Dashboard!$C$3)*(COS(A60*PI()*Dashboard!$C$9)-COS(A60*PI()*Dashboard!$C$10))/(A60*PI())</f>
        <v>4.1907930976017513E-3</v>
      </c>
      <c r="C60">
        <f>SUM($B$2:B60)</f>
        <v>8.3936126779640737E-3</v>
      </c>
      <c r="E60">
        <f>2*SIN(A60*PI()*Dashboard!$C$3)*(COS(A60*PI()*Dashboard!$C$11)-COS(A60*PI()*Dashboard!$C$12))/(A60*PI())</f>
        <v>6.5473214676403648E-3</v>
      </c>
      <c r="F60">
        <f>SUM($E$2:E60)</f>
        <v>0.97856143720650401</v>
      </c>
      <c r="H60">
        <f>2*SIN(A60*PI()*Dashboard!$C$3)*(COS(A60*PI()*Dashboard!$C$13)-COS(A60*PI()*Dashboard!$C$14))/(A60*PI())</f>
        <v>1.3918309283109896E-3</v>
      </c>
      <c r="I60">
        <f>SUM($H$2:H60)</f>
        <v>1.6407381976437121E-2</v>
      </c>
    </row>
    <row r="61" spans="1:9">
      <c r="A61">
        <v>60</v>
      </c>
      <c r="B61">
        <f>2*SIN(A61*PI()*Dashboard!$C$3)*(COS(A61*PI()*Dashboard!$C$9)-COS(A61*PI()*Dashboard!$C$10))/(A61*PI())</f>
        <v>0</v>
      </c>
      <c r="C61">
        <f>SUM($B$2:B61)</f>
        <v>8.3936126779640737E-3</v>
      </c>
      <c r="E61">
        <f>2*SIN(A61*PI()*Dashboard!$C$3)*(COS(A61*PI()*Dashboard!$C$11)-COS(A61*PI()*Dashboard!$C$12))/(A61*PI())</f>
        <v>1.8254832185442039E-2</v>
      </c>
      <c r="F61">
        <f>SUM($E$2:E61)</f>
        <v>0.99681626939194601</v>
      </c>
      <c r="H61">
        <f>2*SIN(A61*PI()*Dashboard!$C$3)*(COS(A61*PI()*Dashboard!$C$13)-COS(A61*PI()*Dashboard!$C$14))/(A61*PI())</f>
        <v>-1.8254832185442039E-2</v>
      </c>
      <c r="I61">
        <f>SUM($H$2:H61)</f>
        <v>-1.847450209004918E-3</v>
      </c>
    </row>
    <row r="62" spans="1:9">
      <c r="A62">
        <v>61</v>
      </c>
      <c r="B62">
        <f>2*SIN(A62*PI()*Dashboard!$C$3)*(COS(A62*PI()*Dashboard!$C$9)-COS(A62*PI()*Dashboard!$C$10))/(A62*PI())</f>
        <v>-2.2651454068363616E-4</v>
      </c>
      <c r="C62">
        <f>SUM($B$2:B62)</f>
        <v>8.1670981372804381E-3</v>
      </c>
      <c r="E62">
        <f>2*SIN(A62*PI()*Dashboard!$C$3)*(COS(A62*PI()*Dashboard!$C$11)-COS(A62*PI()*Dashboard!$C$12))/(A62*PI())</f>
        <v>1.9376339667495376E-5</v>
      </c>
      <c r="F62">
        <f>SUM($E$2:E62)</f>
        <v>0.99683564573161354</v>
      </c>
      <c r="H62">
        <f>2*SIN(A62*PI()*Dashboard!$C$3)*(COS(A62*PI()*Dashboard!$C$13)-COS(A62*PI()*Dashboard!$C$14))/(A62*PI())</f>
        <v>-4.4849164469544143E-4</v>
      </c>
      <c r="I62">
        <f>SUM($H$2:H62)</f>
        <v>-2.2959418537003597E-3</v>
      </c>
    </row>
    <row r="63" spans="1:9">
      <c r="A63">
        <v>62</v>
      </c>
      <c r="B63">
        <f>2*SIN(A63*PI()*Dashboard!$C$3)*(COS(A63*PI()*Dashboard!$C$9)-COS(A63*PI()*Dashboard!$C$10))/(A63*PI())</f>
        <v>-1.7991525751353994E-2</v>
      </c>
      <c r="C63">
        <f>SUM($B$2:B63)</f>
        <v>-9.8244276140735561E-3</v>
      </c>
      <c r="E63">
        <f>2*SIN(A63*PI()*Dashboard!$C$3)*(COS(A63*PI()*Dashboard!$C$11)-COS(A63*PI()*Dashboard!$C$12))/(A63*PI())</f>
        <v>1.7913102743278994E-2</v>
      </c>
      <c r="F63">
        <f>SUM($E$2:E63)</f>
        <v>1.0147487484748925</v>
      </c>
      <c r="H63">
        <f>2*SIN(A63*PI()*Dashboard!$C$3)*(COS(A63*PI()*Dashboard!$C$13)-COS(A63*PI()*Dashboard!$C$14))/(A63*PI())</f>
        <v>7.8423008075001758E-5</v>
      </c>
      <c r="I63">
        <f>SUM($H$2:H63)</f>
        <v>-2.2175188456253579E-3</v>
      </c>
    </row>
    <row r="64" spans="1:9">
      <c r="A64">
        <v>63</v>
      </c>
      <c r="B64">
        <f>2*SIN(A64*PI()*Dashboard!$C$3)*(COS(A64*PI()*Dashboard!$C$9)-COS(A64*PI()*Dashboard!$C$10))/(A64*PI())</f>
        <v>-9.3054062565941943E-3</v>
      </c>
      <c r="C64">
        <f>SUM($B$2:B64)</f>
        <v>-1.9129833870667752E-2</v>
      </c>
      <c r="E64">
        <f>2*SIN(A64*PI()*Dashboard!$C$3)*(COS(A64*PI()*Dashboard!$C$11)-COS(A64*PI()*Dashboard!$C$12))/(A64*PI())</f>
        <v>4.8062060687939284E-3</v>
      </c>
      <c r="F64">
        <f>SUM($E$2:E64)</f>
        <v>1.0195549545436864</v>
      </c>
      <c r="H64">
        <f>2*SIN(A64*PI()*Dashboard!$C$3)*(COS(A64*PI()*Dashboard!$C$13)-COS(A64*PI()*Dashboard!$C$14))/(A64*PI())</f>
        <v>-5.7886039461895007E-3</v>
      </c>
      <c r="I64">
        <f>SUM($H$2:H64)</f>
        <v>-8.0061227918148577E-3</v>
      </c>
    </row>
    <row r="65" spans="1:9">
      <c r="A65">
        <v>64</v>
      </c>
      <c r="B65">
        <f>2*SIN(A65*PI()*Dashboard!$C$3)*(COS(A65*PI()*Dashboard!$C$9)-COS(A65*PI()*Dashboard!$C$10))/(A65*PI())</f>
        <v>4.7051216224479929E-3</v>
      </c>
      <c r="C65">
        <f>SUM($B$2:B65)</f>
        <v>-1.442471224821976E-2</v>
      </c>
      <c r="E65">
        <f>2*SIN(A65*PI()*Dashboard!$C$3)*(COS(A65*PI()*Dashboard!$C$11)-COS(A65*PI()*Dashboard!$C$12))/(A65*PI())</f>
        <v>8.4353362416799086E-3</v>
      </c>
      <c r="F65">
        <f>SUM($E$2:E65)</f>
        <v>1.0279902907853662</v>
      </c>
      <c r="H65">
        <f>2*SIN(A65*PI()*Dashboard!$C$3)*(COS(A65*PI()*Dashboard!$C$13)-COS(A65*PI()*Dashboard!$C$14))/(A65*PI())</f>
        <v>-1.3140457864127901E-2</v>
      </c>
      <c r="I65">
        <f>SUM($H$2:H65)</f>
        <v>-2.1146580655942757E-2</v>
      </c>
    </row>
    <row r="66" spans="1:9">
      <c r="A66">
        <v>65</v>
      </c>
      <c r="B66">
        <f>2*SIN(A66*PI()*Dashboard!$C$3)*(COS(A66*PI()*Dashboard!$C$9)-COS(A66*PI()*Dashboard!$C$10))/(A66*PI())</f>
        <v>0</v>
      </c>
      <c r="C66">
        <f>SUM($B$2:B66)</f>
        <v>-1.442471224821976E-2</v>
      </c>
      <c r="E66">
        <f>2*SIN(A66*PI()*Dashboard!$C$3)*(COS(A66*PI()*Dashboard!$C$11)-COS(A66*PI()*Dashboard!$C$12))/(A66*PI())</f>
        <v>1.38560491180374E-2</v>
      </c>
      <c r="F66">
        <f>SUM($E$2:E66)</f>
        <v>1.0418463399034037</v>
      </c>
      <c r="H66">
        <f>2*SIN(A66*PI()*Dashboard!$C$3)*(COS(A66*PI()*Dashboard!$C$13)-COS(A66*PI()*Dashboard!$C$14))/(A66*PI())</f>
        <v>3.5972545929419952E-3</v>
      </c>
      <c r="I66">
        <f>SUM($H$2:H66)</f>
        <v>-1.7549326063000761E-2</v>
      </c>
    </row>
    <row r="67" spans="1:9">
      <c r="A67">
        <v>66</v>
      </c>
      <c r="B67">
        <f>2*SIN(A67*PI()*Dashboard!$C$3)*(COS(A67*PI()*Dashboard!$C$9)-COS(A67*PI()*Dashboard!$C$10))/(A67*PI())</f>
        <v>-1.248906238904206E-3</v>
      </c>
      <c r="C67">
        <f>SUM($B$2:B67)</f>
        <v>-1.5673618487123966E-2</v>
      </c>
      <c r="E67">
        <f>2*SIN(A67*PI()*Dashboard!$C$3)*(COS(A67*PI()*Dashboard!$C$11)-COS(A67*PI()*Dashboard!$C$12))/(A67*PI())</f>
        <v>5.9357399832290982E-4</v>
      </c>
      <c r="F67">
        <f>SUM($E$2:E67)</f>
        <v>1.0424399139017266</v>
      </c>
      <c r="H67">
        <f>2*SIN(A67*PI()*Dashboard!$C$3)*(COS(A67*PI()*Dashboard!$C$13)-COS(A67*PI()*Dashboard!$C$14))/(A67*PI())</f>
        <v>6.5533224058129632E-4</v>
      </c>
      <c r="I67">
        <f>SUM($H$2:H67)</f>
        <v>-1.6893993822419465E-2</v>
      </c>
    </row>
    <row r="68" spans="1:9">
      <c r="A68">
        <v>67</v>
      </c>
      <c r="B68">
        <f>2*SIN(A68*PI()*Dashboard!$C$3)*(COS(A68*PI()*Dashboard!$C$9)-COS(A68*PI()*Dashboard!$C$10))/(A68*PI())</f>
        <v>-1.711261040495422E-2</v>
      </c>
      <c r="C68">
        <f>SUM($B$2:B68)</f>
        <v>-3.278622889207819E-2</v>
      </c>
      <c r="E68">
        <f>2*SIN(A68*PI()*Dashboard!$C$3)*(COS(A68*PI()*Dashboard!$C$11)-COS(A68*PI()*Dashboard!$C$12))/(A68*PI())</f>
        <v>1.6212310641433855E-2</v>
      </c>
      <c r="F68">
        <f>SUM($E$2:E68)</f>
        <v>1.0586522245431604</v>
      </c>
      <c r="H68">
        <f>2*SIN(A68*PI()*Dashboard!$C$3)*(COS(A68*PI()*Dashboard!$C$13)-COS(A68*PI()*Dashboard!$C$14))/(A68*PI())</f>
        <v>-1.8018936991209003E-2</v>
      </c>
      <c r="I68">
        <f>SUM($H$2:H68)</f>
        <v>-3.4912930813628465E-2</v>
      </c>
    </row>
    <row r="69" spans="1:9">
      <c r="A69">
        <v>68</v>
      </c>
      <c r="B69">
        <f>2*SIN(A69*PI()*Dashboard!$C$3)*(COS(A69*PI()*Dashboard!$C$9)-COS(A69*PI()*Dashboard!$C$10))/(A69*PI())</f>
        <v>-6.2346006635718328E-3</v>
      </c>
      <c r="C69">
        <f>SUM($B$2:B69)</f>
        <v>-3.9020829555650019E-2</v>
      </c>
      <c r="E69">
        <f>2*SIN(A69*PI()*Dashboard!$C$3)*(COS(A69*PI()*Dashboard!$C$11)-COS(A69*PI()*Dashboard!$C$12))/(A69*PI())</f>
        <v>2.1424067511609727E-3</v>
      </c>
      <c r="F69">
        <f>SUM($E$2:E69)</f>
        <v>1.0607946312943215</v>
      </c>
      <c r="H69">
        <f>2*SIN(A69*PI()*Dashboard!$C$3)*(COS(A69*PI()*Dashboard!$C$13)-COS(A69*PI()*Dashboard!$C$14))/(A69*PI())</f>
        <v>4.0921939124108596E-3</v>
      </c>
      <c r="I69">
        <f>SUM($H$2:H69)</f>
        <v>-3.0820736901217605E-2</v>
      </c>
    </row>
    <row r="70" spans="1:9">
      <c r="A70">
        <v>69</v>
      </c>
      <c r="B70">
        <f>2*SIN(A70*PI()*Dashboard!$C$3)*(COS(A70*PI()*Dashboard!$C$9)-COS(A70*PI()*Dashboard!$C$10))/(A70*PI())</f>
        <v>5.0374494129125993E-3</v>
      </c>
      <c r="C70">
        <f>SUM($B$2:B70)</f>
        <v>-3.398338014273742E-2</v>
      </c>
      <c r="E70">
        <f>2*SIN(A70*PI()*Dashboard!$C$3)*(COS(A70*PI()*Dashboard!$C$11)-COS(A70*PI()*Dashboard!$C$12))/(A70*PI())</f>
        <v>9.5286954678864971E-3</v>
      </c>
      <c r="F70">
        <f>SUM($E$2:E70)</f>
        <v>1.0703233267622081</v>
      </c>
      <c r="H70">
        <f>2*SIN(A70*PI()*Dashboard!$C$3)*(COS(A70*PI()*Dashboard!$C$13)-COS(A70*PI()*Dashboard!$C$14))/(A70*PI())</f>
        <v>1.4385673221484992E-5</v>
      </c>
      <c r="I70">
        <f>SUM($H$2:H70)</f>
        <v>-3.0806351227996121E-2</v>
      </c>
    </row>
    <row r="71" spans="1:9">
      <c r="A71">
        <v>70</v>
      </c>
      <c r="B71">
        <f>2*SIN(A71*PI()*Dashboard!$C$3)*(COS(A71*PI()*Dashboard!$C$9)-COS(A71*PI()*Dashboard!$C$10))/(A71*PI())</f>
        <v>0</v>
      </c>
      <c r="C71">
        <f>SUM($B$2:B71)</f>
        <v>-3.398338014273742E-2</v>
      </c>
      <c r="E71">
        <f>2*SIN(A71*PI()*Dashboard!$C$3)*(COS(A71*PI()*Dashboard!$C$11)-COS(A71*PI()*Dashboard!$C$12))/(A71*PI())</f>
        <v>9.6313022556055051E-3</v>
      </c>
      <c r="F71">
        <f>SUM($E$2:E71)</f>
        <v>1.0799546290178137</v>
      </c>
      <c r="H71">
        <f>2*SIN(A71*PI()*Dashboard!$C$3)*(COS(A71*PI()*Dashboard!$C$13)-COS(A71*PI()*Dashboard!$C$14))/(A71*PI())</f>
        <v>-9.6313022556055051E-3</v>
      </c>
      <c r="I71">
        <f>SUM($H$2:H71)</f>
        <v>-4.0437653483601628E-2</v>
      </c>
    </row>
    <row r="72" spans="1:9">
      <c r="A72">
        <v>71</v>
      </c>
      <c r="B72">
        <f>2*SIN(A72*PI()*Dashboard!$C$3)*(COS(A72*PI()*Dashboard!$C$9)-COS(A72*PI()*Dashboard!$C$10))/(A72*PI())</f>
        <v>-2.0987125389536373E-3</v>
      </c>
      <c r="C72">
        <f>SUM($B$2:B72)</f>
        <v>-3.6082092681691054E-2</v>
      </c>
      <c r="E72">
        <f>2*SIN(A72*PI()*Dashboard!$C$3)*(COS(A72*PI()*Dashboard!$C$11)-COS(A72*PI()*Dashboard!$C$12))/(A72*PI())</f>
        <v>1.6258920324372587E-3</v>
      </c>
      <c r="F72">
        <f>SUM($E$2:E72)</f>
        <v>1.0815805210502509</v>
      </c>
      <c r="H72">
        <f>2*SIN(A72*PI()*Dashboard!$C$3)*(COS(A72*PI()*Dashboard!$C$13)-COS(A72*PI()*Dashboard!$C$14))/(A72*PI())</f>
        <v>-5.6017501323235878E-3</v>
      </c>
      <c r="I72">
        <f>SUM($H$2:H72)</f>
        <v>-4.6039403615925213E-2</v>
      </c>
    </row>
    <row r="73" spans="1:9">
      <c r="A73">
        <v>72</v>
      </c>
      <c r="B73">
        <f>2*SIN(A73*PI()*Dashboard!$C$3)*(COS(A73*PI()*Dashboard!$C$9)-COS(A73*PI()*Dashboard!$C$10))/(A73*PI())</f>
        <v>-1.5963659127057904E-2</v>
      </c>
      <c r="C73">
        <f>SUM($B$2:B73)</f>
        <v>-5.2045751808748958E-2</v>
      </c>
      <c r="E73">
        <f>2*SIN(A73*PI()*Dashboard!$C$3)*(COS(A73*PI()*Dashboard!$C$11)-COS(A73*PI()*Dashboard!$C$12))/(A73*PI())</f>
        <v>1.3571944478695421E-2</v>
      </c>
      <c r="F73">
        <f>SUM($E$2:E73)</f>
        <v>1.0951524655289464</v>
      </c>
      <c r="H73">
        <f>2*SIN(A73*PI()*Dashboard!$C$3)*(COS(A73*PI()*Dashboard!$C$13)-COS(A73*PI()*Dashboard!$C$14))/(A73*PI())</f>
        <v>2.3917146483624818E-3</v>
      </c>
      <c r="I73">
        <f>SUM($H$2:H73)</f>
        <v>-4.3647688967562728E-2</v>
      </c>
    </row>
    <row r="74" spans="1:9">
      <c r="A74">
        <v>73</v>
      </c>
      <c r="B74">
        <f>2*SIN(A74*PI()*Dashboard!$C$3)*(COS(A74*PI()*Dashboard!$C$9)-COS(A74*PI()*Dashboard!$C$10))/(A74*PI())</f>
        <v>-3.4414516440354295E-3</v>
      </c>
      <c r="C74">
        <f>SUM($B$2:B74)</f>
        <v>-5.5487203452784385E-2</v>
      </c>
      <c r="E74">
        <f>2*SIN(A74*PI()*Dashboard!$C$3)*(COS(A74*PI()*Dashboard!$C$11)-COS(A74*PI()*Dashboard!$C$12))/(A74*PI())</f>
        <v>6.225817087893011E-4</v>
      </c>
      <c r="F74">
        <f>SUM($E$2:E74)</f>
        <v>1.0957750472377357</v>
      </c>
      <c r="H74">
        <f>2*SIN(A74*PI()*Dashboard!$C$3)*(COS(A74*PI()*Dashboard!$C$13)-COS(A74*PI()*Dashboard!$C$14))/(A74*PI())</f>
        <v>-9.8590542588806594E-4</v>
      </c>
      <c r="I74">
        <f>SUM($H$2:H74)</f>
        <v>-4.4633594393450791E-2</v>
      </c>
    </row>
    <row r="75" spans="1:9">
      <c r="A75">
        <v>74</v>
      </c>
      <c r="B75">
        <f>2*SIN(A75*PI()*Dashboard!$C$3)*(COS(A75*PI()*Dashboard!$C$9)-COS(A75*PI()*Dashboard!$C$10))/(A75*PI())</f>
        <v>5.2092103144108374E-3</v>
      </c>
      <c r="C75">
        <f>SUM($B$2:B75)</f>
        <v>-5.0277993138373549E-2</v>
      </c>
      <c r="E75">
        <f>2*SIN(A75*PI()*Dashboard!$C$3)*(COS(A75*PI()*Dashboard!$C$11)-COS(A75*PI()*Dashboard!$C$12))/(A75*PI())</f>
        <v>9.6316231420508231E-3</v>
      </c>
      <c r="F75">
        <f>SUM($E$2:E75)</f>
        <v>1.1054066703797865</v>
      </c>
      <c r="H75">
        <f>2*SIN(A75*PI()*Dashboard!$C$3)*(COS(A75*PI()*Dashboard!$C$13)-COS(A75*PI()*Dashboard!$C$14))/(A75*PI())</f>
        <v>-1.4840833456461661E-2</v>
      </c>
      <c r="I75">
        <f>SUM($H$2:H75)</f>
        <v>-5.9474427849912456E-2</v>
      </c>
    </row>
    <row r="76" spans="1:9">
      <c r="A76">
        <v>75</v>
      </c>
      <c r="B76">
        <f>2*SIN(A76*PI()*Dashboard!$C$3)*(COS(A76*PI()*Dashboard!$C$9)-COS(A76*PI()*Dashboard!$C$10))/(A76*PI())</f>
        <v>0</v>
      </c>
      <c r="C76">
        <f>SUM($B$2:B76)</f>
        <v>-5.0277993138373549E-2</v>
      </c>
      <c r="E76">
        <f>2*SIN(A76*PI()*Dashboard!$C$3)*(COS(A76*PI()*Dashboard!$C$11)-COS(A76*PI()*Dashboard!$C$12))/(A76*PI())</f>
        <v>6.0021087743808111E-3</v>
      </c>
      <c r="F76">
        <f>SUM($E$2:E76)</f>
        <v>1.1114087791541674</v>
      </c>
      <c r="H76">
        <f>2*SIN(A76*PI()*Dashboard!$C$3)*(COS(A76*PI()*Dashboard!$C$13)-COS(A76*PI()*Dashboard!$C$14))/(A76*PI())</f>
        <v>6.0021087743806585E-3</v>
      </c>
      <c r="I76">
        <f>SUM($H$2:H76)</f>
        <v>-5.34723190755318E-2</v>
      </c>
    </row>
    <row r="77" spans="1:9">
      <c r="A77">
        <v>76</v>
      </c>
      <c r="B77">
        <f>2*SIN(A77*PI()*Dashboard!$C$3)*(COS(A77*PI()*Dashboard!$C$9)-COS(A77*PI()*Dashboard!$C$10))/(A77*PI())</f>
        <v>-2.788424772897861E-3</v>
      </c>
      <c r="C77">
        <f>SUM($B$2:B77)</f>
        <v>-5.306641791127141E-2</v>
      </c>
      <c r="E77">
        <f>2*SIN(A77*PI()*Dashboard!$C$3)*(COS(A77*PI()*Dashboard!$C$11)-COS(A77*PI()*Dashboard!$C$12))/(A77*PI())</f>
        <v>2.6616438085587538E-3</v>
      </c>
      <c r="F77">
        <f>SUM($E$2:E77)</f>
        <v>1.1140704229627261</v>
      </c>
      <c r="H77">
        <f>2*SIN(A77*PI()*Dashboard!$C$3)*(COS(A77*PI()*Dashboard!$C$13)-COS(A77*PI()*Dashboard!$C$14))/(A77*PI())</f>
        <v>1.2678096433910765E-4</v>
      </c>
      <c r="I77">
        <f>SUM($H$2:H77)</f>
        <v>-5.3345538111192692E-2</v>
      </c>
    </row>
    <row r="78" spans="1:9">
      <c r="A78">
        <v>77</v>
      </c>
      <c r="B78">
        <f>2*SIN(A78*PI()*Dashboard!$C$3)*(COS(A78*PI()*Dashboard!$C$9)-COS(A78*PI()*Dashboard!$C$10))/(A78*PI())</f>
        <v>-1.4596368595641901E-2</v>
      </c>
      <c r="C78">
        <f>SUM($B$2:B78)</f>
        <v>-6.7662786506913306E-2</v>
      </c>
      <c r="E78">
        <f>2*SIN(A78*PI()*Dashboard!$C$3)*(COS(A78*PI()*Dashboard!$C$11)-COS(A78*PI()*Dashboard!$C$12))/(A78*PI())</f>
        <v>1.0414807880806183E-2</v>
      </c>
      <c r="F78">
        <f>SUM($E$2:E78)</f>
        <v>1.1244852308435322</v>
      </c>
      <c r="H78">
        <f>2*SIN(A78*PI()*Dashboard!$C$3)*(COS(A78*PI()*Dashboard!$C$13)-COS(A78*PI()*Dashboard!$C$14))/(A78*PI())</f>
        <v>-1.1955787514648769E-2</v>
      </c>
      <c r="I78">
        <f>SUM($H$2:H78)</f>
        <v>-6.5301325625841455E-2</v>
      </c>
    </row>
    <row r="79" spans="1:9">
      <c r="A79">
        <v>78</v>
      </c>
      <c r="B79">
        <f>2*SIN(A79*PI()*Dashboard!$C$3)*(COS(A79*PI()*Dashboard!$C$9)-COS(A79*PI()*Dashboard!$C$10))/(A79*PI())</f>
        <v>-9.2709074042738064E-4</v>
      </c>
      <c r="C79">
        <f>SUM($B$2:B79)</f>
        <v>-6.8589877247340683E-2</v>
      </c>
      <c r="E79">
        <f>2*SIN(A79*PI()*Dashboard!$C$3)*(COS(A79*PI()*Dashboard!$C$11)-COS(A79*PI()*Dashboard!$C$12))/(A79*PI())</f>
        <v>4.1023439812744265E-5</v>
      </c>
      <c r="F79">
        <f>SUM($E$2:E79)</f>
        <v>1.124526254283345</v>
      </c>
      <c r="H79">
        <f>2*SIN(A79*PI()*Dashboard!$C$3)*(COS(A79*PI()*Dashboard!$C$13)-COS(A79*PI()*Dashboard!$C$14))/(A79*PI())</f>
        <v>8.860673006146362E-4</v>
      </c>
      <c r="I79">
        <f>SUM($H$2:H79)</f>
        <v>-6.4415258325226821E-2</v>
      </c>
    </row>
    <row r="80" spans="1:9">
      <c r="A80">
        <v>79</v>
      </c>
      <c r="B80">
        <f>2*SIN(A80*PI()*Dashboard!$C$3)*(COS(A80*PI()*Dashboard!$C$9)-COS(A80*PI()*Dashboard!$C$10))/(A80*PI())</f>
        <v>5.2390795141045859E-3</v>
      </c>
      <c r="C80">
        <f>SUM($B$2:B80)</f>
        <v>-6.3350797733236097E-2</v>
      </c>
      <c r="E80">
        <f>2*SIN(A80*PI()*Dashboard!$C$3)*(COS(A80*PI()*Dashboard!$C$11)-COS(A80*PI()*Dashboard!$C$12))/(A80*PI())</f>
        <v>8.7447385727785331E-3</v>
      </c>
      <c r="F80">
        <f>SUM($E$2:E80)</f>
        <v>1.1332709928561235</v>
      </c>
      <c r="H80">
        <f>2*SIN(A80*PI()*Dashboard!$C$3)*(COS(A80*PI()*Dashboard!$C$13)-COS(A80*PI()*Dashboard!$C$14))/(A80*PI())</f>
        <v>1.180316114551592E-3</v>
      </c>
      <c r="I80">
        <f>SUM($H$2:H80)</f>
        <v>-6.323494221067523E-2</v>
      </c>
    </row>
    <row r="81" spans="1:9">
      <c r="A81">
        <v>80</v>
      </c>
      <c r="B81">
        <f>2*SIN(A81*PI()*Dashboard!$C$3)*(COS(A81*PI()*Dashboard!$C$9)-COS(A81*PI()*Dashboard!$C$10))/(A81*PI())</f>
        <v>0</v>
      </c>
      <c r="C81">
        <f>SUM($B$2:B81)</f>
        <v>-6.3350797733236097E-2</v>
      </c>
      <c r="E81">
        <f>2*SIN(A81*PI()*Dashboard!$C$3)*(COS(A81*PI()*Dashboard!$C$11)-COS(A81*PI()*Dashboard!$C$12))/(A81*PI())</f>
        <v>3.2320359852115446E-3</v>
      </c>
      <c r="F81">
        <f>SUM($E$2:E81)</f>
        <v>1.1365030288413351</v>
      </c>
      <c r="H81">
        <f>2*SIN(A81*PI()*Dashboard!$C$3)*(COS(A81*PI()*Dashboard!$C$13)-COS(A81*PI()*Dashboard!$C$14))/(A81*PI())</f>
        <v>-3.2320359852115446E-3</v>
      </c>
      <c r="I81">
        <f>SUM($H$2:H81)</f>
        <v>-6.6466978195886775E-2</v>
      </c>
    </row>
    <row r="82" spans="1:9">
      <c r="A82">
        <v>81</v>
      </c>
      <c r="B82">
        <f>2*SIN(A82*PI()*Dashboard!$C$3)*(COS(A82*PI()*Dashboard!$C$9)-COS(A82*PI()*Dashboard!$C$10))/(A82*PI())</f>
        <v>-3.3285653645754422E-3</v>
      </c>
      <c r="C82">
        <f>SUM($B$2:B82)</f>
        <v>-6.6679363097811542E-2</v>
      </c>
      <c r="E82">
        <f>2*SIN(A82*PI()*Dashboard!$C$3)*(COS(A82*PI()*Dashboard!$C$11)-COS(A82*PI()*Dashboard!$C$12))/(A82*PI())</f>
        <v>3.3190598291931157E-3</v>
      </c>
      <c r="F82">
        <f>SUM($E$2:E82)</f>
        <v>1.1398220886705281</v>
      </c>
      <c r="H82">
        <f>2*SIN(A82*PI()*Dashboard!$C$3)*(COS(A82*PI()*Dashboard!$C$13)-COS(A82*PI()*Dashboard!$C$14))/(A82*PI())</f>
        <v>-9.6247845628655276E-3</v>
      </c>
      <c r="I82">
        <f>SUM($H$2:H82)</f>
        <v>-7.6091762758752304E-2</v>
      </c>
    </row>
    <row r="83" spans="1:9">
      <c r="A83">
        <v>82</v>
      </c>
      <c r="B83">
        <f>2*SIN(A83*PI()*Dashboard!$C$3)*(COS(A83*PI()*Dashboard!$C$9)-COS(A83*PI()*Dashboard!$C$10))/(A83*PI())</f>
        <v>-1.3058325081723039E-2</v>
      </c>
      <c r="C83">
        <f>SUM($B$2:B83)</f>
        <v>-7.9737688179534583E-2</v>
      </c>
      <c r="E83">
        <f>2*SIN(A83*PI()*Dashboard!$C$3)*(COS(A83*PI()*Dashboard!$C$11)-COS(A83*PI()*Dashboard!$C$12))/(A83*PI())</f>
        <v>7.1924658915563837E-3</v>
      </c>
      <c r="F83">
        <f>SUM($E$2:E83)</f>
        <v>1.1470145545620845</v>
      </c>
      <c r="H83">
        <f>2*SIN(A83*PI()*Dashboard!$C$3)*(COS(A83*PI()*Dashboard!$C$13)-COS(A83*PI()*Dashboard!$C$14))/(A83*PI())</f>
        <v>5.8658591901666534E-3</v>
      </c>
      <c r="I83">
        <f>SUM($H$2:H83)</f>
        <v>-7.0225903568585657E-2</v>
      </c>
    </row>
    <row r="84" spans="1:9">
      <c r="A84">
        <v>83</v>
      </c>
      <c r="B84">
        <f>2*SIN(A84*PI()*Dashboard!$C$3)*(COS(A84*PI()*Dashboard!$C$9)-COS(A84*PI()*Dashboard!$C$10))/(A84*PI())</f>
        <v>1.3057879816331043E-3</v>
      </c>
      <c r="C84">
        <f>SUM($B$2:B84)</f>
        <v>-7.8431900197901472E-2</v>
      </c>
      <c r="E84">
        <f>2*SIN(A84*PI()*Dashboard!$C$3)*(COS(A84*PI()*Dashboard!$C$11)-COS(A84*PI()*Dashboard!$C$12))/(A84*PI())</f>
        <v>6.9157792748166091E-5</v>
      </c>
      <c r="F84">
        <f>SUM($E$2:E84)</f>
        <v>1.1470837123548325</v>
      </c>
      <c r="H84">
        <f>2*SIN(A84*PI()*Dashboard!$C$3)*(COS(A84*PI()*Dashboard!$C$13)-COS(A84*PI()*Dashboard!$C$14))/(A84*PI())</f>
        <v>6.8697912431392374E-5</v>
      </c>
      <c r="I84">
        <f>SUM($H$2:H84)</f>
        <v>-7.015720565615427E-2</v>
      </c>
    </row>
    <row r="85" spans="1:9">
      <c r="A85">
        <v>84</v>
      </c>
      <c r="B85">
        <f>2*SIN(A85*PI()*Dashboard!$C$3)*(COS(A85*PI()*Dashboard!$C$9)-COS(A85*PI()*Dashboard!$C$10))/(A85*PI())</f>
        <v>5.1440681128052095E-3</v>
      </c>
      <c r="C85">
        <f>SUM($B$2:B85)</f>
        <v>-7.3287832085096261E-2</v>
      </c>
      <c r="E85">
        <f>2*SIN(A85*PI()*Dashboard!$C$3)*(COS(A85*PI()*Dashboard!$C$11)-COS(A85*PI()*Dashboard!$C$12))/(A85*PI())</f>
        <v>7.0458417174505423E-3</v>
      </c>
      <c r="F85">
        <f>SUM($E$2:E85)</f>
        <v>1.1541295540722831</v>
      </c>
      <c r="H85">
        <f>2*SIN(A85*PI()*Dashboard!$C$3)*(COS(A85*PI()*Dashboard!$C$13)-COS(A85*PI()*Dashboard!$C$14))/(A85*PI())</f>
        <v>-1.2189909830255752E-2</v>
      </c>
      <c r="I85">
        <f>SUM($H$2:H85)</f>
        <v>-8.2347115486410022E-2</v>
      </c>
    </row>
    <row r="86" spans="1:9">
      <c r="A86">
        <v>85</v>
      </c>
      <c r="B86">
        <f>2*SIN(A86*PI()*Dashboard!$C$3)*(COS(A86*PI()*Dashboard!$C$9)-COS(A86*PI()*Dashboard!$C$10))/(A86*PI())</f>
        <v>0</v>
      </c>
      <c r="C86">
        <f>SUM($B$2:B86)</f>
        <v>-7.3287832085096261E-2</v>
      </c>
      <c r="E86">
        <f>2*SIN(A86*PI()*Dashboard!$C$3)*(COS(A86*PI()*Dashboard!$C$11)-COS(A86*PI()*Dashboard!$C$12))/(A86*PI())</f>
        <v>1.4016238779054103E-3</v>
      </c>
      <c r="F86">
        <f>SUM($E$2:E86)</f>
        <v>1.1555311779501884</v>
      </c>
      <c r="H86">
        <f>2*SIN(A86*PI()*Dashboard!$C$3)*(COS(A86*PI()*Dashboard!$C$13)-COS(A86*PI()*Dashboard!$C$14))/(A86*PI())</f>
        <v>5.3988309127119237E-3</v>
      </c>
      <c r="I86">
        <f>SUM($H$2:H86)</f>
        <v>-7.6948284573698095E-2</v>
      </c>
    </row>
    <row r="87" spans="1:9">
      <c r="A87">
        <v>86</v>
      </c>
      <c r="B87">
        <f>2*SIN(A87*PI()*Dashboard!$C$3)*(COS(A87*PI()*Dashboard!$C$9)-COS(A87*PI()*Dashboard!$C$10))/(A87*PI())</f>
        <v>-3.7287037197994422E-3</v>
      </c>
      <c r="C87">
        <f>SUM($B$2:B87)</f>
        <v>-7.7016535804895703E-2</v>
      </c>
      <c r="E87">
        <f>2*SIN(A87*PI()*Dashboard!$C$3)*(COS(A87*PI()*Dashboard!$C$11)-COS(A87*PI()*Dashboard!$C$12))/(A87*PI())</f>
        <v>3.3497614359020334E-3</v>
      </c>
      <c r="F87">
        <f>SUM($E$2:E87)</f>
        <v>1.1588809393860904</v>
      </c>
      <c r="H87">
        <f>2*SIN(A87*PI()*Dashboard!$C$3)*(COS(A87*PI()*Dashboard!$C$13)-COS(A87*PI()*Dashboard!$C$14))/(A87*PI())</f>
        <v>3.7894228389740868E-4</v>
      </c>
      <c r="I87">
        <f>SUM($H$2:H87)</f>
        <v>-7.6569342289800682E-2</v>
      </c>
    </row>
    <row r="88" spans="1:9">
      <c r="A88">
        <v>87</v>
      </c>
      <c r="B88">
        <f>2*SIN(A88*PI()*Dashboard!$C$3)*(COS(A88*PI()*Dashboard!$C$9)-COS(A88*PI()*Dashboard!$C$10))/(A88*PI())</f>
        <v>-1.1394008147198488E-2</v>
      </c>
      <c r="C88">
        <f>SUM($B$2:B88)</f>
        <v>-8.8410543952094189E-2</v>
      </c>
      <c r="E88">
        <f>2*SIN(A88*PI()*Dashboard!$C$3)*(COS(A88*PI()*Dashboard!$C$11)-COS(A88*PI()*Dashboard!$C$12))/(A88*PI())</f>
        <v>4.3061498952227557E-3</v>
      </c>
      <c r="F88">
        <f>SUM($E$2:E88)</f>
        <v>1.1631870892813132</v>
      </c>
      <c r="H88">
        <f>2*SIN(A88*PI()*Dashboard!$C$3)*(COS(A88*PI()*Dashboard!$C$13)-COS(A88*PI()*Dashboard!$C$14))/(A88*PI())</f>
        <v>-5.509047341092449E-3</v>
      </c>
      <c r="I88">
        <f>SUM($H$2:H88)</f>
        <v>-8.2078389630893131E-2</v>
      </c>
    </row>
    <row r="89" spans="1:9">
      <c r="A89">
        <v>88</v>
      </c>
      <c r="B89">
        <f>2*SIN(A89*PI()*Dashboard!$C$3)*(COS(A89*PI()*Dashboard!$C$9)-COS(A89*PI()*Dashboard!$C$10))/(A89*PI())</f>
        <v>3.2546045170628976E-3</v>
      </c>
      <c r="C89">
        <f>SUM($B$2:B89)</f>
        <v>-8.5155939435031289E-2</v>
      </c>
      <c r="E89">
        <f>2*SIN(A89*PI()*Dashboard!$C$3)*(COS(A89*PI()*Dashboard!$C$11)-COS(A89*PI()*Dashboard!$C$12))/(A89*PI())</f>
        <v>3.2941129128259277E-4</v>
      </c>
      <c r="F89">
        <f>SUM($E$2:E89)</f>
        <v>1.1635165005725958</v>
      </c>
      <c r="H89">
        <f>2*SIN(A89*PI()*Dashboard!$C$3)*(COS(A89*PI()*Dashboard!$C$13)-COS(A89*PI()*Dashboard!$C$14))/(A89*PI())</f>
        <v>-3.5840158083454907E-3</v>
      </c>
      <c r="I89">
        <f>SUM($H$2:H89)</f>
        <v>-8.5662405439238615E-2</v>
      </c>
    </row>
    <row r="90" spans="1:9">
      <c r="A90">
        <v>89</v>
      </c>
      <c r="B90">
        <f>2*SIN(A90*PI()*Dashboard!$C$3)*(COS(A90*PI()*Dashboard!$C$9)-COS(A90*PI()*Dashboard!$C$10))/(A90*PI())</f>
        <v>4.94018407742577E-3</v>
      </c>
      <c r="C90">
        <f>SUM($B$2:B90)</f>
        <v>-8.0215755357605514E-2</v>
      </c>
      <c r="E90">
        <f>2*SIN(A90*PI()*Dashboard!$C$3)*(COS(A90*PI()*Dashboard!$C$11)-COS(A90*PI()*Dashboard!$C$12))/(A90*PI())</f>
        <v>4.841224547803856E-3</v>
      </c>
      <c r="F90">
        <f>SUM($E$2:E90)</f>
        <v>1.1683577251203996</v>
      </c>
      <c r="H90">
        <f>2*SIN(A90*PI()*Dashboard!$C$3)*(COS(A90*PI()*Dashboard!$C$13)-COS(A90*PI()*Dashboard!$C$14))/(A90*PI())</f>
        <v>4.517594497016132E-3</v>
      </c>
      <c r="I90">
        <f>SUM($H$2:H90)</f>
        <v>-8.1144810942222478E-2</v>
      </c>
    </row>
    <row r="91" spans="1:9">
      <c r="A91">
        <v>90</v>
      </c>
      <c r="B91">
        <f>2*SIN(A91*PI()*Dashboard!$C$3)*(COS(A91*PI()*Dashboard!$C$9)-COS(A91*PI()*Dashboard!$C$10))/(A91*PI())</f>
        <v>0</v>
      </c>
      <c r="C91">
        <f>SUM($B$2:B91)</f>
        <v>-8.0215755357605514E-2</v>
      </c>
      <c r="E91">
        <f>2*SIN(A91*PI()*Dashboard!$C$3)*(COS(A91*PI()*Dashboard!$C$11)-COS(A91*PI()*Dashboard!$C$12))/(A91*PI())</f>
        <v>4.1745983916442563E-4</v>
      </c>
      <c r="F91">
        <f>SUM($E$2:E91)</f>
        <v>1.168775184959564</v>
      </c>
      <c r="H91">
        <f>2*SIN(A91*PI()*Dashboard!$C$3)*(COS(A91*PI()*Dashboard!$C$13)-COS(A91*PI()*Dashboard!$C$14))/(A91*PI())</f>
        <v>-4.1745983916442563E-4</v>
      </c>
      <c r="I91">
        <f>SUM($H$2:H91)</f>
        <v>-8.1562270781386906E-2</v>
      </c>
    </row>
    <row r="92" spans="1:9">
      <c r="A92">
        <v>91</v>
      </c>
      <c r="B92">
        <f>2*SIN(A92*PI()*Dashboard!$C$3)*(COS(A92*PI()*Dashboard!$C$9)-COS(A92*PI()*Dashboard!$C$10))/(A92*PI())</f>
        <v>-3.9981024404075974E-3</v>
      </c>
      <c r="C92">
        <f>SUM($B$2:B92)</f>
        <v>-8.4213857798013117E-2</v>
      </c>
      <c r="E92">
        <f>2*SIN(A92*PI()*Dashboard!$C$3)*(COS(A92*PI()*Dashboard!$C$11)-COS(A92*PI()*Dashboard!$C$12))/(A92*PI())</f>
        <v>2.6702672308145953E-3</v>
      </c>
      <c r="F92">
        <f>SUM($E$2:E92)</f>
        <v>1.1714454521903785</v>
      </c>
      <c r="H92">
        <f>2*SIN(A92*PI()*Dashboard!$C$3)*(COS(A92*PI()*Dashboard!$C$13)-COS(A92*PI()*Dashboard!$C$14))/(A92*PI())</f>
        <v>-1.0244381206326056E-2</v>
      </c>
      <c r="I92">
        <f>SUM($H$2:H92)</f>
        <v>-9.1806651987712956E-2</v>
      </c>
    </row>
    <row r="93" spans="1:9">
      <c r="A93">
        <v>92</v>
      </c>
      <c r="B93">
        <f>2*SIN(A93*PI()*Dashboard!$C$3)*(COS(A93*PI()*Dashboard!$C$9)-COS(A93*PI()*Dashboard!$C$10))/(A93*PI())</f>
        <v>-9.6452846655980806E-3</v>
      </c>
      <c r="C93">
        <f>SUM($B$2:B93)</f>
        <v>-9.3859142463611198E-2</v>
      </c>
      <c r="E93">
        <f>2*SIN(A93*PI()*Dashboard!$C$3)*(COS(A93*PI()*Dashboard!$C$11)-COS(A93*PI()*Dashboard!$C$12))/(A93*PI())</f>
        <v>2.0433399739665297E-3</v>
      </c>
      <c r="F93">
        <f>SUM($E$2:E93)</f>
        <v>1.1734887921643451</v>
      </c>
      <c r="H93">
        <f>2*SIN(A93*PI()*Dashboard!$C$3)*(COS(A93*PI()*Dashboard!$C$13)-COS(A93*PI()*Dashboard!$C$14))/(A93*PI())</f>
        <v>7.60194469163155E-3</v>
      </c>
      <c r="I93">
        <f>SUM($H$2:H93)</f>
        <v>-8.4204707296081399E-2</v>
      </c>
    </row>
    <row r="94" spans="1:9">
      <c r="A94">
        <v>93</v>
      </c>
      <c r="B94">
        <f>2*SIN(A94*PI()*Dashboard!$C$3)*(COS(A94*PI()*Dashboard!$C$9)-COS(A94*PI()*Dashboard!$C$10))/(A94*PI())</f>
        <v>4.9180402800074888E-3</v>
      </c>
      <c r="C94">
        <f>SUM($B$2:B94)</f>
        <v>-8.894110218360371E-2</v>
      </c>
      <c r="E94">
        <f>2*SIN(A94*PI()*Dashboard!$C$3)*(COS(A94*PI()*Dashboard!$C$11)-COS(A94*PI()*Dashboard!$C$12))/(A94*PI())</f>
        <v>4.710569899147291E-4</v>
      </c>
      <c r="F94">
        <f>SUM($E$2:E94)</f>
        <v>1.1739598491542598</v>
      </c>
      <c r="H94">
        <f>2*SIN(A94*PI()*Dashboard!$C$3)*(COS(A94*PI()*Dashboard!$C$13)-COS(A94*PI()*Dashboard!$C$14))/(A94*PI())</f>
        <v>4.8154337221175971E-5</v>
      </c>
      <c r="I94">
        <f>SUM($H$2:H94)</f>
        <v>-8.4156552958860223E-2</v>
      </c>
    </row>
    <row r="95" spans="1:9">
      <c r="A95">
        <v>94</v>
      </c>
      <c r="B95">
        <f>2*SIN(A95*PI()*Dashboard!$C$3)*(COS(A95*PI()*Dashboard!$C$9)-COS(A95*PI()*Dashboard!$C$10))/(A95*PI())</f>
        <v>4.6428165165650218E-3</v>
      </c>
      <c r="C95">
        <f>SUM($B$2:B95)</f>
        <v>-8.4298285667038689E-2</v>
      </c>
      <c r="E95">
        <f>2*SIN(A95*PI()*Dashboard!$C$3)*(COS(A95*PI()*Dashboard!$C$11)-COS(A95*PI()*Dashboard!$C$12))/(A95*PI())</f>
        <v>2.4982294101084839E-3</v>
      </c>
      <c r="F95">
        <f>SUM($E$2:E95)</f>
        <v>1.1764580785643683</v>
      </c>
      <c r="H95">
        <f>2*SIN(A95*PI()*Dashboard!$C$3)*(COS(A95*PI()*Dashboard!$C$13)-COS(A95*PI()*Dashboard!$C$14))/(A95*PI())</f>
        <v>-7.1410459266735048E-3</v>
      </c>
      <c r="I95">
        <f>SUM($H$2:H95)</f>
        <v>-9.1297598885533723E-2</v>
      </c>
    </row>
    <row r="96" spans="1:9">
      <c r="A96">
        <v>95</v>
      </c>
      <c r="B96">
        <f>2*SIN(A96*PI()*Dashboard!$C$3)*(COS(A96*PI()*Dashboard!$C$9)-COS(A96*PI()*Dashboard!$C$10))/(A96*PI())</f>
        <v>0</v>
      </c>
      <c r="C96">
        <f>SUM($B$2:B96)</f>
        <v>-8.4298285667038689E-2</v>
      </c>
      <c r="E96">
        <f>2*SIN(A96*PI()*Dashboard!$C$3)*(COS(A96*PI()*Dashboard!$C$11)-COS(A96*PI()*Dashboard!$C$12))/(A96*PI())</f>
        <v>5.1307852483337755E-5</v>
      </c>
      <c r="F96">
        <f>SUM($E$2:E96)</f>
        <v>1.1765093864168517</v>
      </c>
      <c r="H96">
        <f>2*SIN(A96*PI()*Dashboard!$C$3)*(COS(A96*PI()*Dashboard!$C$13)-COS(A96*PI()*Dashboard!$C$14))/(A96*PI())</f>
        <v>2.0453084322399773E-3</v>
      </c>
      <c r="I96">
        <f>SUM($H$2:H96)</f>
        <v>-8.9252290453293748E-2</v>
      </c>
    </row>
    <row r="97" spans="1:9">
      <c r="A97">
        <v>96</v>
      </c>
      <c r="B97">
        <f>2*SIN(A97*PI()*Dashboard!$C$3)*(COS(A97*PI()*Dashboard!$C$9)-COS(A97*PI()*Dashboard!$C$10))/(A97*PI())</f>
        <v>-4.1461196677940737E-3</v>
      </c>
      <c r="C97">
        <f>SUM($B$2:B97)</f>
        <v>-8.8444405334832762E-2</v>
      </c>
      <c r="E97">
        <f>2*SIN(A97*PI()*Dashboard!$C$3)*(COS(A97*PI()*Dashboard!$C$11)-COS(A97*PI()*Dashboard!$C$12))/(A97*PI())</f>
        <v>1.3609315532763842E-3</v>
      </c>
      <c r="F97">
        <f>SUM($E$2:E97)</f>
        <v>1.177870317970128</v>
      </c>
      <c r="H97">
        <f>2*SIN(A97*PI()*Dashboard!$C$3)*(COS(A97*PI()*Dashboard!$C$13)-COS(A97*PI()*Dashboard!$C$14))/(A97*PI())</f>
        <v>2.7851881145176892E-3</v>
      </c>
      <c r="I97">
        <f>SUM($H$2:H97)</f>
        <v>-8.6467102338776053E-2</v>
      </c>
    </row>
    <row r="98" spans="1:9">
      <c r="A98">
        <v>97</v>
      </c>
      <c r="B98">
        <f>2*SIN(A98*PI()*Dashboard!$C$3)*(COS(A98*PI()*Dashboard!$C$9)-COS(A98*PI()*Dashboard!$C$10))/(A98*PI())</f>
        <v>-7.8515852483017519E-3</v>
      </c>
      <c r="C98">
        <f>SUM($B$2:B98)</f>
        <v>-9.6295990583134511E-2</v>
      </c>
      <c r="E98">
        <f>2*SIN(A98*PI()*Dashboard!$C$3)*(COS(A98*PI()*Dashboard!$C$11)-COS(A98*PI()*Dashboard!$C$12))/(A98*PI())</f>
        <v>5.4023038093130456E-4</v>
      </c>
      <c r="F98">
        <f>SUM($E$2:E98)</f>
        <v>1.1784105483510592</v>
      </c>
      <c r="H98">
        <f>2*SIN(A98*PI()*Dashboard!$C$3)*(COS(A98*PI()*Dashboard!$C$13)-COS(A98*PI()*Dashboard!$C$14))/(A98*PI())</f>
        <v>-1.3691442906982169E-3</v>
      </c>
      <c r="I98">
        <f>SUM($H$2:H98)</f>
        <v>-8.7836246629474271E-2</v>
      </c>
    </row>
    <row r="99" spans="1:9">
      <c r="A99">
        <v>98</v>
      </c>
      <c r="B99">
        <f>2*SIN(A99*PI()*Dashboard!$C$3)*(COS(A99*PI()*Dashboard!$C$9)-COS(A99*PI()*Dashboard!$C$10))/(A99*PI())</f>
        <v>6.2968177196185962E-3</v>
      </c>
      <c r="C99">
        <f>SUM($B$2:B99)</f>
        <v>-8.9999172863515914E-2</v>
      </c>
      <c r="E99">
        <f>2*SIN(A99*PI()*Dashboard!$C$3)*(COS(A99*PI()*Dashboard!$C$11)-COS(A99*PI()*Dashboard!$C$12))/(A99*PI())</f>
        <v>2.3422161670403813E-4</v>
      </c>
      <c r="F99">
        <f>SUM($E$2:E99)</f>
        <v>1.1786447699677631</v>
      </c>
      <c r="H99">
        <f>2*SIN(A99*PI()*Dashboard!$C$3)*(COS(A99*PI()*Dashboard!$C$13)-COS(A99*PI()*Dashboard!$C$14))/(A99*PI())</f>
        <v>-6.5310393363226344E-3</v>
      </c>
      <c r="I99">
        <f>SUM($H$2:H99)</f>
        <v>-9.436728596579691E-2</v>
      </c>
    </row>
    <row r="100" spans="1:9">
      <c r="A100">
        <v>99</v>
      </c>
      <c r="B100">
        <f>2*SIN(A100*PI()*Dashboard!$C$3)*(COS(A100*PI()*Dashboard!$C$9)-COS(A100*PI()*Dashboard!$C$10))/(A100*PI())</f>
        <v>4.2669383475219171E-3</v>
      </c>
      <c r="C100">
        <f>SUM($B$2:B100)</f>
        <v>-8.5732234515994002E-2</v>
      </c>
      <c r="E100">
        <f>2*SIN(A100*PI()*Dashboard!$C$3)*(COS(A100*PI()*Dashboard!$C$11)-COS(A100*PI()*Dashboard!$C$12))/(A100*PI())</f>
        <v>3.72530214280655E-4</v>
      </c>
      <c r="F100">
        <f>SUM($E$2:E100)</f>
        <v>1.1790173001820439</v>
      </c>
      <c r="H100">
        <f>2*SIN(A100*PI()*Dashboard!$C$3)*(COS(A100*PI()*Dashboard!$C$13)-COS(A100*PI()*Dashboard!$C$14))/(A100*PI())</f>
        <v>7.7108738135849113E-3</v>
      </c>
      <c r="I100">
        <f>SUM($H$2:H100)</f>
        <v>-8.6656412152211995E-2</v>
      </c>
    </row>
    <row r="101" spans="1:9">
      <c r="A101">
        <v>100</v>
      </c>
      <c r="B101">
        <f>2*SIN(A101*PI()*Dashboard!$C$3)*(COS(A101*PI()*Dashboard!$C$9)-COS(A101*PI()*Dashboard!$C$10))/(A101*PI())</f>
        <v>0</v>
      </c>
      <c r="C101">
        <f>SUM($B$2:B101)</f>
        <v>-8.5732234515994002E-2</v>
      </c>
      <c r="E101">
        <f>2*SIN(A101*PI()*Dashboard!$C$3)*(COS(A101*PI()*Dashboard!$C$11)-COS(A101*PI()*Dashboard!$C$12))/(A101*PI())</f>
        <v>0</v>
      </c>
      <c r="F101">
        <f>SUM($E$2:E101)</f>
        <v>1.1790173001820439</v>
      </c>
      <c r="H101">
        <f>2*SIN(A101*PI()*Dashboard!$C$3)*(COS(A101*PI()*Dashboard!$C$13)-COS(A101*PI()*Dashboard!$C$14))/(A101*PI())</f>
        <v>0</v>
      </c>
      <c r="I101">
        <f>SUM($H$2:H101)</f>
        <v>-8.6656412152211995E-2</v>
      </c>
    </row>
    <row r="102" spans="1:9">
      <c r="A102">
        <v>101</v>
      </c>
      <c r="B102">
        <f>2*SIN(A102*PI()*Dashboard!$C$3)*(COS(A102*PI()*Dashboard!$C$9)-COS(A102*PI()*Dashboard!$C$10))/(A102*PI())</f>
        <v>-4.1824445188579588E-3</v>
      </c>
      <c r="C102">
        <f>SUM($B$2:B102)</f>
        <v>-8.9914679034851966E-2</v>
      </c>
      <c r="E102">
        <f>2*SIN(A102*PI()*Dashboard!$C$3)*(COS(A102*PI()*Dashboard!$C$11)-COS(A102*PI()*Dashboard!$C$12))/(A102*PI())</f>
        <v>-3.6515337835429809E-4</v>
      </c>
      <c r="F102">
        <f>SUM($E$2:E102)</f>
        <v>1.1786521468036897</v>
      </c>
      <c r="H102">
        <f>2*SIN(A102*PI()*Dashboard!$C$3)*(COS(A102*PI()*Dashboard!$C$13)-COS(A102*PI()*Dashboard!$C$14))/(A102*PI())</f>
        <v>-7.5581832430189804E-3</v>
      </c>
      <c r="I102">
        <f>SUM($H$2:H102)</f>
        <v>-9.4214595395230971E-2</v>
      </c>
    </row>
    <row r="103" spans="1:9">
      <c r="A103">
        <v>102</v>
      </c>
      <c r="B103">
        <f>2*SIN(A103*PI()*Dashboard!$C$3)*(COS(A103*PI()*Dashboard!$C$9)-COS(A103*PI()*Dashboard!$C$10))/(A103*PI())</f>
        <v>-6.0498836913986179E-3</v>
      </c>
      <c r="C103">
        <f>SUM($B$2:B103)</f>
        <v>-9.5964562726250591E-2</v>
      </c>
      <c r="E103">
        <f>2*SIN(A103*PI()*Dashboard!$C$3)*(COS(A103*PI()*Dashboard!$C$11)-COS(A103*PI()*Dashboard!$C$12))/(A103*PI())</f>
        <v>-2.2503645526471586E-4</v>
      </c>
      <c r="F103">
        <f>SUM($E$2:E103)</f>
        <v>1.178427110348425</v>
      </c>
      <c r="H103">
        <f>2*SIN(A103*PI()*Dashboard!$C$3)*(COS(A103*PI()*Dashboard!$C$13)-COS(A103*PI()*Dashboard!$C$14))/(A103*PI())</f>
        <v>6.2749201466633332E-3</v>
      </c>
      <c r="I103">
        <f>SUM($H$2:H103)</f>
        <v>-8.7939675248567634E-2</v>
      </c>
    </row>
    <row r="104" spans="1:9">
      <c r="A104">
        <v>103</v>
      </c>
      <c r="B104">
        <f>2*SIN(A104*PI()*Dashboard!$C$3)*(COS(A104*PI()*Dashboard!$C$9)-COS(A104*PI()*Dashboard!$C$10))/(A104*PI())</f>
        <v>7.3942113503421359E-3</v>
      </c>
      <c r="C104">
        <f>SUM($B$2:B104)</f>
        <v>-8.8570351375908449E-2</v>
      </c>
      <c r="E104">
        <f>2*SIN(A104*PI()*Dashboard!$C$3)*(COS(A104*PI()*Dashboard!$C$11)-COS(A104*PI()*Dashboard!$C$12))/(A104*PI())</f>
        <v>-5.0876065000321751E-4</v>
      </c>
      <c r="F104">
        <f>SUM($E$2:E104)</f>
        <v>1.1779183496984218</v>
      </c>
      <c r="H104">
        <f>2*SIN(A104*PI()*Dashboard!$C$3)*(COS(A104*PI()*Dashboard!$C$13)-COS(A104*PI()*Dashboard!$C$14))/(A104*PI())</f>
        <v>1.2893883125991098E-3</v>
      </c>
      <c r="I104">
        <f>SUM($H$2:H104)</f>
        <v>-8.6650286935968518E-2</v>
      </c>
    </row>
    <row r="105" spans="1:9">
      <c r="A105">
        <v>104</v>
      </c>
      <c r="B105">
        <f>2*SIN(A105*PI()*Dashboard!$C$3)*(COS(A105*PI()*Dashboard!$C$9)-COS(A105*PI()*Dashboard!$C$10))/(A105*PI())</f>
        <v>3.8271873856562258E-3</v>
      </c>
      <c r="C105">
        <f>SUM($B$2:B105)</f>
        <v>-8.4743163990252224E-2</v>
      </c>
      <c r="E105">
        <f>2*SIN(A105*PI()*Dashboard!$C$3)*(COS(A105*PI()*Dashboard!$C$11)-COS(A105*PI()*Dashboard!$C$12))/(A105*PI())</f>
        <v>-1.2562445107168175E-3</v>
      </c>
      <c r="F105">
        <f>SUM($E$2:E105)</f>
        <v>1.1766621051877051</v>
      </c>
      <c r="H105">
        <f>2*SIN(A105*PI()*Dashboard!$C$3)*(COS(A105*PI()*Dashboard!$C$13)-COS(A105*PI()*Dashboard!$C$14))/(A105*PI())</f>
        <v>-2.5709428749394075E-3</v>
      </c>
      <c r="I105">
        <f>SUM($H$2:H105)</f>
        <v>-8.9221229810907923E-2</v>
      </c>
    </row>
    <row r="106" spans="1:9">
      <c r="A106">
        <v>105</v>
      </c>
      <c r="B106">
        <f>2*SIN(A106*PI()*Dashboard!$C$3)*(COS(A106*PI()*Dashboard!$C$9)-COS(A106*PI()*Dashboard!$C$10))/(A106*PI())</f>
        <v>0</v>
      </c>
      <c r="C106">
        <f>SUM($B$2:B106)</f>
        <v>-8.4743163990252224E-2</v>
      </c>
      <c r="E106">
        <f>2*SIN(A106*PI()*Dashboard!$C$3)*(COS(A106*PI()*Dashboard!$C$11)-COS(A106*PI()*Dashboard!$C$12))/(A106*PI())</f>
        <v>-4.6421390342059519E-5</v>
      </c>
      <c r="F106">
        <f>SUM($E$2:E106)</f>
        <v>1.1766156837973629</v>
      </c>
      <c r="H106">
        <f>2*SIN(A106*PI()*Dashboard!$C$3)*(COS(A106*PI()*Dashboard!$C$13)-COS(A106*PI()*Dashboard!$C$14))/(A106*PI())</f>
        <v>-1.8505171529788293E-3</v>
      </c>
      <c r="I106">
        <f>SUM($H$2:H106)</f>
        <v>-9.1071746963886757E-2</v>
      </c>
    </row>
    <row r="107" spans="1:9">
      <c r="A107">
        <v>106</v>
      </c>
      <c r="B107">
        <f>2*SIN(A107*PI()*Dashboard!$C$3)*(COS(A107*PI()*Dashboard!$C$9)-COS(A107*PI()*Dashboard!$C$10))/(A107*PI())</f>
        <v>-4.1172146467650626E-3</v>
      </c>
      <c r="C107">
        <f>SUM($B$2:B107)</f>
        <v>-8.886037863701729E-2</v>
      </c>
      <c r="E107">
        <f>2*SIN(A107*PI()*Dashboard!$C$3)*(COS(A107*PI()*Dashboard!$C$11)-COS(A107*PI()*Dashboard!$C$12))/(A107*PI())</f>
        <v>-2.2154109863226027E-3</v>
      </c>
      <c r="F107">
        <f>SUM($E$2:E107)</f>
        <v>1.1744002728110403</v>
      </c>
      <c r="H107">
        <f>2*SIN(A107*PI()*Dashboard!$C$3)*(COS(A107*PI()*Dashboard!$C$13)-COS(A107*PI()*Dashboard!$C$14))/(A107*PI())</f>
        <v>6.3326256330876671E-3</v>
      </c>
      <c r="I107">
        <f>SUM($H$2:H107)</f>
        <v>-8.4739121330799083E-2</v>
      </c>
    </row>
    <row r="108" spans="1:9">
      <c r="A108">
        <v>107</v>
      </c>
      <c r="B108">
        <f>2*SIN(A108*PI()*Dashboard!$C$3)*(COS(A108*PI()*Dashboard!$C$9)-COS(A108*PI()*Dashboard!$C$10))/(A108*PI())</f>
        <v>-4.2745583742125129E-3</v>
      </c>
      <c r="C108">
        <f>SUM($B$2:B108)</f>
        <v>-9.3134937011229796E-2</v>
      </c>
      <c r="E108">
        <f>2*SIN(A108*PI()*Dashboard!$C$3)*(COS(A108*PI()*Dashboard!$C$11)-COS(A108*PI()*Dashboard!$C$12))/(A108*PI())</f>
        <v>-4.0942336506615825E-4</v>
      </c>
      <c r="F108">
        <f>SUM($E$2:E108)</f>
        <v>1.1739908494459741</v>
      </c>
      <c r="H108">
        <f>2*SIN(A108*PI()*Dashboard!$C$3)*(COS(A108*PI()*Dashboard!$C$13)-COS(A108*PI()*Dashboard!$C$14))/(A108*PI())</f>
        <v>-4.185376973430856E-5</v>
      </c>
      <c r="I108">
        <f>SUM($H$2:H108)</f>
        <v>-8.4780975100533396E-2</v>
      </c>
    </row>
    <row r="109" spans="1:9">
      <c r="A109">
        <v>108</v>
      </c>
      <c r="B109">
        <f>2*SIN(A109*PI()*Dashboard!$C$3)*(COS(A109*PI()*Dashboard!$C$9)-COS(A109*PI()*Dashboard!$C$10))/(A109*PI())</f>
        <v>8.2163536040278252E-3</v>
      </c>
      <c r="C109">
        <f>SUM($B$2:B109)</f>
        <v>-8.4918583407201972E-2</v>
      </c>
      <c r="E109">
        <f>2*SIN(A109*PI()*Dashboard!$C$3)*(COS(A109*PI()*Dashboard!$C$11)-COS(A109*PI()*Dashboard!$C$12))/(A109*PI())</f>
        <v>-1.7406229407862185E-3</v>
      </c>
      <c r="F109">
        <f>SUM($E$2:E109)</f>
        <v>1.172250226505188</v>
      </c>
      <c r="H109">
        <f>2*SIN(A109*PI()*Dashboard!$C$3)*(COS(A109*PI()*Dashboard!$C$13)-COS(A109*PI()*Dashboard!$C$14))/(A109*PI())</f>
        <v>-6.4757306632416073E-3</v>
      </c>
      <c r="I109">
        <f>SUM($H$2:H109)</f>
        <v>-9.1256705763775009E-2</v>
      </c>
    </row>
    <row r="110" spans="1:9">
      <c r="A110">
        <v>109</v>
      </c>
      <c r="B110">
        <f>2*SIN(A110*PI()*Dashboard!$C$3)*(COS(A110*PI()*Dashboard!$C$9)-COS(A110*PI()*Dashboard!$C$10))/(A110*PI())</f>
        <v>3.3378653401570811E-3</v>
      </c>
      <c r="C110">
        <f>SUM($B$2:B110)</f>
        <v>-8.1580718067044894E-2</v>
      </c>
      <c r="E110">
        <f>2*SIN(A110*PI()*Dashboard!$C$3)*(COS(A110*PI()*Dashboard!$C$11)-COS(A110*PI()*Dashboard!$C$12))/(A110*PI())</f>
        <v>-2.2293056697628129E-3</v>
      </c>
      <c r="F110">
        <f>SUM($E$2:E110)</f>
        <v>1.1700209208354251</v>
      </c>
      <c r="H110">
        <f>2*SIN(A110*PI()*Dashboard!$C$3)*(COS(A110*PI()*Dashboard!$C$13)-COS(A110*PI()*Dashboard!$C$14))/(A110*PI())</f>
        <v>8.5526485300522169E-3</v>
      </c>
      <c r="I110">
        <f>SUM($H$2:H110)</f>
        <v>-8.2704057233722789E-2</v>
      </c>
    </row>
    <row r="111" spans="1:9">
      <c r="A111">
        <v>110</v>
      </c>
      <c r="B111">
        <f>2*SIN(A111*PI()*Dashboard!$C$3)*(COS(A111*PI()*Dashboard!$C$9)-COS(A111*PI()*Dashboard!$C$10))/(A111*PI())</f>
        <v>0</v>
      </c>
      <c r="C111">
        <f>SUM($B$2:B111)</f>
        <v>-8.1580718067044894E-2</v>
      </c>
      <c r="E111">
        <f>2*SIN(A111*PI()*Dashboard!$C$3)*(COS(A111*PI()*Dashboard!$C$11)-COS(A111*PI()*Dashboard!$C$12))/(A111*PI())</f>
        <v>-3.4155805022541015E-4</v>
      </c>
      <c r="F111">
        <f>SUM($E$2:E111)</f>
        <v>1.1696793627851996</v>
      </c>
      <c r="H111">
        <f>2*SIN(A111*PI()*Dashboard!$C$3)*(COS(A111*PI()*Dashboard!$C$13)-COS(A111*PI()*Dashboard!$C$14))/(A111*PI())</f>
        <v>3.4155805022541015E-4</v>
      </c>
      <c r="I111">
        <f>SUM($H$2:H111)</f>
        <v>-8.2362499183497376E-2</v>
      </c>
    </row>
    <row r="112" spans="1:9">
      <c r="A112">
        <v>111</v>
      </c>
      <c r="B112">
        <f>2*SIN(A112*PI()*Dashboard!$C$3)*(COS(A112*PI()*Dashboard!$C$9)-COS(A112*PI()*Dashboard!$C$10))/(A112*PI())</f>
        <v>-3.9610484945124267E-3</v>
      </c>
      <c r="C112">
        <f>SUM($B$2:B112)</f>
        <v>-8.554176656155732E-2</v>
      </c>
      <c r="E112">
        <f>2*SIN(A112*PI()*Dashboard!$C$3)*(COS(A112*PI()*Dashboard!$C$11)-COS(A112*PI()*Dashboard!$C$12))/(A112*PI())</f>
        <v>-3.8817025653563987E-3</v>
      </c>
      <c r="F112">
        <f>SUM($E$2:E112)</f>
        <v>1.1657976602198432</v>
      </c>
      <c r="H112">
        <f>2*SIN(A112*PI()*Dashboard!$C$3)*(COS(A112*PI()*Dashboard!$C$13)-COS(A112*PI()*Dashboard!$C$14))/(A112*PI())</f>
        <v>-3.6222154075174202E-3</v>
      </c>
      <c r="I112">
        <f>SUM($H$2:H112)</f>
        <v>-8.5984714591014796E-2</v>
      </c>
    </row>
    <row r="113" spans="1:9">
      <c r="A113">
        <v>112</v>
      </c>
      <c r="B113">
        <f>2*SIN(A113*PI()*Dashboard!$C$3)*(COS(A113*PI()*Dashboard!$C$9)-COS(A113*PI()*Dashboard!$C$10))/(A113*PI())</f>
        <v>-2.5571892634069964E-3</v>
      </c>
      <c r="C113">
        <f>SUM($B$2:B113)</f>
        <v>-8.8098955824964312E-2</v>
      </c>
      <c r="E113">
        <f>2*SIN(A113*PI()*Dashboard!$C$3)*(COS(A113*PI()*Dashboard!$C$11)-COS(A113*PI()*Dashboard!$C$12))/(A113*PI())</f>
        <v>-2.5882315743639567E-4</v>
      </c>
      <c r="F113">
        <f>SUM($E$2:E113)</f>
        <v>1.1655388370624069</v>
      </c>
      <c r="H113">
        <f>2*SIN(A113*PI()*Dashboard!$C$3)*(COS(A113*PI()*Dashboard!$C$13)-COS(A113*PI()*Dashboard!$C$14))/(A113*PI())</f>
        <v>2.8160124208433919E-3</v>
      </c>
      <c r="I113">
        <f>SUM($H$2:H113)</f>
        <v>-8.3168702170171402E-2</v>
      </c>
    </row>
    <row r="114" spans="1:9">
      <c r="A114">
        <v>113</v>
      </c>
      <c r="B114">
        <f>2*SIN(A114*PI()*Dashboard!$C$3)*(COS(A114*PI()*Dashboard!$C$9)-COS(A114*PI()*Dashboard!$C$10))/(A114*PI())</f>
        <v>8.772377954037687E-3</v>
      </c>
      <c r="C114">
        <f>SUM($B$2:B114)</f>
        <v>-7.9326577870926618E-2</v>
      </c>
      <c r="E114">
        <f>2*SIN(A114*PI()*Dashboard!$C$3)*(COS(A114*PI()*Dashboard!$C$11)-COS(A114*PI()*Dashboard!$C$12))/(A114*PI())</f>
        <v>-3.3153543441094974E-3</v>
      </c>
      <c r="F114">
        <f>SUM($E$2:E114)</f>
        <v>1.1622234827182973</v>
      </c>
      <c r="H114">
        <f>2*SIN(A114*PI()*Dashboard!$C$3)*(COS(A114*PI()*Dashboard!$C$13)-COS(A114*PI()*Dashboard!$C$14))/(A114*PI())</f>
        <v>4.2414789263275814E-3</v>
      </c>
      <c r="I114">
        <f>SUM($H$2:H114)</f>
        <v>-7.8927223243843825E-2</v>
      </c>
    </row>
    <row r="115" spans="1:9">
      <c r="A115">
        <v>114</v>
      </c>
      <c r="B115">
        <f>2*SIN(A115*PI()*Dashboard!$C$3)*(COS(A115*PI()*Dashboard!$C$9)-COS(A115*PI()*Dashboard!$C$10))/(A115*PI())</f>
        <v>2.8128817535331809E-3</v>
      </c>
      <c r="C115">
        <f>SUM($B$2:B115)</f>
        <v>-7.6513696117393434E-2</v>
      </c>
      <c r="E115">
        <f>2*SIN(A115*PI()*Dashboard!$C$3)*(COS(A115*PI()*Dashboard!$C$11)-COS(A115*PI()*Dashboard!$C$12))/(A115*PI())</f>
        <v>-2.5270130130491007E-3</v>
      </c>
      <c r="F115">
        <f>SUM($E$2:E115)</f>
        <v>1.1596964697052483</v>
      </c>
      <c r="H115">
        <f>2*SIN(A115*PI()*Dashboard!$C$3)*(COS(A115*PI()*Dashboard!$C$13)-COS(A115*PI()*Dashboard!$C$14))/(A115*PI())</f>
        <v>-2.8586874048408062E-4</v>
      </c>
      <c r="I115">
        <f>SUM($H$2:H115)</f>
        <v>-7.921309198432791E-2</v>
      </c>
    </row>
    <row r="116" spans="1:9">
      <c r="A116">
        <v>115</v>
      </c>
      <c r="B116">
        <f>2*SIN(A116*PI()*Dashboard!$C$3)*(COS(A116*PI()*Dashboard!$C$9)-COS(A116*PI()*Dashboard!$C$10))/(A116*PI())</f>
        <v>0</v>
      </c>
      <c r="C116">
        <f>SUM($B$2:B116)</f>
        <v>-7.6513696117393434E-2</v>
      </c>
      <c r="E116">
        <f>2*SIN(A116*PI()*Dashboard!$C$3)*(COS(A116*PI()*Dashboard!$C$11)-COS(A116*PI()*Dashboard!$C$12))/(A116*PI())</f>
        <v>-1.035982866277827E-3</v>
      </c>
      <c r="F116">
        <f>SUM($E$2:E116)</f>
        <v>1.1586604868389705</v>
      </c>
      <c r="H116">
        <f>2*SIN(A116*PI()*Dashboard!$C$3)*(COS(A116*PI()*Dashboard!$C$13)-COS(A116*PI()*Dashboard!$C$14))/(A116*PI())</f>
        <v>-3.9904402398304685E-3</v>
      </c>
      <c r="I116">
        <f>SUM($H$2:H116)</f>
        <v>-8.3203532224158383E-2</v>
      </c>
    </row>
    <row r="117" spans="1:9">
      <c r="A117">
        <v>116</v>
      </c>
      <c r="B117">
        <f>2*SIN(A117*PI()*Dashboard!$C$3)*(COS(A117*PI()*Dashboard!$C$9)-COS(A117*PI()*Dashboard!$C$10))/(A117*PI())</f>
        <v>-3.7250148403071828E-3</v>
      </c>
      <c r="C117">
        <f>SUM($B$2:B117)</f>
        <v>-8.0238710957700618E-2</v>
      </c>
      <c r="E117">
        <f>2*SIN(A117*PI()*Dashboard!$C$3)*(COS(A117*PI()*Dashboard!$C$11)-COS(A117*PI()*Dashboard!$C$12))/(A117*PI())</f>
        <v>-5.1021612436711059E-3</v>
      </c>
      <c r="F117">
        <f>SUM($E$2:E117)</f>
        <v>1.1535583255952995</v>
      </c>
      <c r="H117">
        <f>2*SIN(A117*PI()*Dashboard!$C$3)*(COS(A117*PI()*Dashboard!$C$13)-COS(A117*PI()*Dashboard!$C$14))/(A117*PI())</f>
        <v>8.8271760839782887E-3</v>
      </c>
      <c r="I117">
        <f>SUM($H$2:H117)</f>
        <v>-7.4376356140180094E-2</v>
      </c>
    </row>
    <row r="118" spans="1:9">
      <c r="A118">
        <v>117</v>
      </c>
      <c r="B118">
        <f>2*SIN(A118*PI()*Dashboard!$C$3)*(COS(A118*PI()*Dashboard!$C$9)-COS(A118*PI()*Dashboard!$C$10))/(A118*PI())</f>
        <v>-9.2632822628703222E-4</v>
      </c>
      <c r="C118">
        <f>SUM($B$2:B118)</f>
        <v>-8.1165039183987653E-2</v>
      </c>
      <c r="E118">
        <f>2*SIN(A118*PI()*Dashboard!$C$3)*(COS(A118*PI()*Dashboard!$C$11)-COS(A118*PI()*Dashboard!$C$12))/(A118*PI())</f>
        <v>-4.9060656394027017E-5</v>
      </c>
      <c r="F118">
        <f>SUM($E$2:E118)</f>
        <v>1.1535092649389054</v>
      </c>
      <c r="H118">
        <f>2*SIN(A118*PI()*Dashboard!$C$3)*(COS(A118*PI()*Dashboard!$C$13)-COS(A118*PI()*Dashboard!$C$14))/(A118*PI())</f>
        <v>-4.8734416511169519E-5</v>
      </c>
      <c r="I118">
        <f>SUM($H$2:H118)</f>
        <v>-7.4425090556691262E-2</v>
      </c>
    </row>
    <row r="119" spans="1:9">
      <c r="A119">
        <v>118</v>
      </c>
      <c r="B119">
        <f>2*SIN(A119*PI()*Dashboard!$C$3)*(COS(A119*PI()*Dashboard!$C$9)-COS(A119*PI()*Dashboard!$C$10))/(A119*PI())</f>
        <v>9.0744292940786696E-3</v>
      </c>
      <c r="C119">
        <f>SUM($B$2:B119)</f>
        <v>-7.209060988990898E-2</v>
      </c>
      <c r="E119">
        <f>2*SIN(A119*PI()*Dashboard!$C$3)*(COS(A119*PI()*Dashboard!$C$11)-COS(A119*PI()*Dashboard!$C$12))/(A119*PI())</f>
        <v>-4.9981542636238297E-3</v>
      </c>
      <c r="F119">
        <f>SUM($E$2:E119)</f>
        <v>1.1485111106752814</v>
      </c>
      <c r="H119">
        <f>2*SIN(A119*PI()*Dashboard!$C$3)*(COS(A119*PI()*Dashboard!$C$13)-COS(A119*PI()*Dashboard!$C$14))/(A119*PI())</f>
        <v>-4.0762750304548399E-3</v>
      </c>
      <c r="I119">
        <f>SUM($H$2:H119)</f>
        <v>-7.8501365587146099E-2</v>
      </c>
    </row>
    <row r="120" spans="1:9">
      <c r="A120">
        <v>119</v>
      </c>
      <c r="B120">
        <f>2*SIN(A120*PI()*Dashboard!$C$3)*(COS(A120*PI()*Dashboard!$C$9)-COS(A120*PI()*Dashboard!$C$10))/(A120*PI())</f>
        <v>2.2656621389129036E-3</v>
      </c>
      <c r="C120">
        <f>SUM($B$2:B120)</f>
        <v>-6.9824947750996069E-2</v>
      </c>
      <c r="E120">
        <f>2*SIN(A120*PI()*Dashboard!$C$3)*(COS(A120*PI()*Dashboard!$C$11)-COS(A120*PI()*Dashboard!$C$12))/(A120*PI())</f>
        <v>-2.259191984577026E-3</v>
      </c>
      <c r="F120">
        <f>SUM($E$2:E120)</f>
        <v>1.1462519186907043</v>
      </c>
      <c r="H120">
        <f>2*SIN(A120*PI()*Dashboard!$C$3)*(COS(A120*PI()*Dashboard!$C$13)-COS(A120*PI()*Dashboard!$C$14))/(A120*PI())</f>
        <v>6.5513239461525421E-3</v>
      </c>
      <c r="I120">
        <f>SUM($H$2:H120)</f>
        <v>-7.1950041640993556E-2</v>
      </c>
    </row>
    <row r="121" spans="1:9">
      <c r="A121">
        <v>120</v>
      </c>
      <c r="B121">
        <f>2*SIN(A121*PI()*Dashboard!$C$3)*(COS(A121*PI()*Dashboard!$C$9)-COS(A121*PI()*Dashboard!$C$10))/(A121*PI())</f>
        <v>0</v>
      </c>
      <c r="C121">
        <f>SUM($B$2:B121)</f>
        <v>-6.9824947750996069E-2</v>
      </c>
      <c r="E121">
        <f>2*SIN(A121*PI()*Dashboard!$C$3)*(COS(A121*PI()*Dashboard!$C$11)-COS(A121*PI()*Dashboard!$C$12))/(A121*PI())</f>
        <v>-2.1546906568075726E-3</v>
      </c>
      <c r="F121">
        <f>SUM($E$2:E121)</f>
        <v>1.1440972280338968</v>
      </c>
      <c r="H121">
        <f>2*SIN(A121*PI()*Dashboard!$C$3)*(COS(A121*PI()*Dashboard!$C$13)-COS(A121*PI()*Dashboard!$C$14))/(A121*PI())</f>
        <v>2.1546906568075726E-3</v>
      </c>
      <c r="I121">
        <f>SUM($H$2:H121)</f>
        <v>-6.9795350984185989E-2</v>
      </c>
    </row>
    <row r="122" spans="1:9">
      <c r="A122">
        <v>121</v>
      </c>
      <c r="B122">
        <f>2*SIN(A122*PI()*Dashboard!$C$3)*(COS(A122*PI()*Dashboard!$C$9)-COS(A122*PI()*Dashboard!$C$10))/(A122*PI())</f>
        <v>-3.4205560463988543E-3</v>
      </c>
      <c r="C122">
        <f>SUM($B$2:B122)</f>
        <v>-7.3245503797394917E-2</v>
      </c>
      <c r="E122">
        <f>2*SIN(A122*PI()*Dashboard!$C$3)*(COS(A122*PI()*Dashboard!$C$11)-COS(A122*PI()*Dashboard!$C$12))/(A122*PI())</f>
        <v>-5.7093747706571428E-3</v>
      </c>
      <c r="F122">
        <f>SUM($E$2:E122)</f>
        <v>1.1383878532632397</v>
      </c>
      <c r="H122">
        <f>2*SIN(A122*PI()*Dashboard!$C$3)*(COS(A122*PI()*Dashboard!$C$13)-COS(A122*PI()*Dashboard!$C$14))/(A122*PI())</f>
        <v>-7.7061961198000124E-4</v>
      </c>
      <c r="I122">
        <f>SUM($H$2:H122)</f>
        <v>-7.0565970596165983E-2</v>
      </c>
    </row>
    <row r="123" spans="1:9">
      <c r="A123">
        <v>122</v>
      </c>
      <c r="B123">
        <f>2*SIN(A123*PI()*Dashboard!$C$3)*(COS(A123*PI()*Dashboard!$C$9)-COS(A123*PI()*Dashboard!$C$10))/(A123*PI())</f>
        <v>5.9273014551884196E-4</v>
      </c>
      <c r="C123">
        <f>SUM($B$2:B123)</f>
        <v>-7.2652773651876071E-2</v>
      </c>
      <c r="E123">
        <f>2*SIN(A123*PI()*Dashboard!$C$3)*(COS(A123*PI()*Dashboard!$C$11)-COS(A123*PI()*Dashboard!$C$12))/(A123*PI())</f>
        <v>-2.6228100863862957E-5</v>
      </c>
      <c r="F123">
        <f>SUM($E$2:E123)</f>
        <v>1.1383616251623758</v>
      </c>
      <c r="H123">
        <f>2*SIN(A123*PI()*Dashboard!$C$3)*(COS(A123*PI()*Dashboard!$C$13)-COS(A123*PI()*Dashboard!$C$14))/(A123*PI())</f>
        <v>-5.6650204465497902E-4</v>
      </c>
      <c r="I123">
        <f>SUM($H$2:H123)</f>
        <v>-7.1132472640820968E-2</v>
      </c>
    </row>
    <row r="124" spans="1:9">
      <c r="A124">
        <v>123</v>
      </c>
      <c r="B124">
        <f>2*SIN(A124*PI()*Dashboard!$C$3)*(COS(A124*PI()*Dashboard!$C$9)-COS(A124*PI()*Dashboard!$C$10))/(A124*PI())</f>
        <v>9.1375640801985934E-3</v>
      </c>
      <c r="C124">
        <f>SUM($B$2:B124)</f>
        <v>-6.3515209571677472E-2</v>
      </c>
      <c r="E124">
        <f>2*SIN(A124*PI()*Dashboard!$C$3)*(COS(A124*PI()*Dashboard!$C$11)-COS(A124*PI()*Dashboard!$C$12))/(A124*PI())</f>
        <v>-6.5198390798541948E-3</v>
      </c>
      <c r="F124">
        <f>SUM($E$2:E124)</f>
        <v>1.1318417860825216</v>
      </c>
      <c r="H124">
        <f>2*SIN(A124*PI()*Dashboard!$C$3)*(COS(A124*PI()*Dashboard!$C$13)-COS(A124*PI()*Dashboard!$C$14))/(A124*PI())</f>
        <v>7.4845173872189873E-3</v>
      </c>
      <c r="I124">
        <f>SUM($H$2:H124)</f>
        <v>-6.3647955253601979E-2</v>
      </c>
    </row>
    <row r="125" spans="1:9">
      <c r="A125">
        <v>124</v>
      </c>
      <c r="B125">
        <f>2*SIN(A125*PI()*Dashboard!$C$3)*(COS(A125*PI()*Dashboard!$C$9)-COS(A125*PI()*Dashboard!$C$10))/(A125*PI())</f>
        <v>1.7090345382279862E-3</v>
      </c>
      <c r="C125">
        <f>SUM($B$2:B125)</f>
        <v>-6.1806175033449484E-2</v>
      </c>
      <c r="E125">
        <f>2*SIN(A125*PI()*Dashboard!$C$3)*(COS(A125*PI()*Dashboard!$C$11)-COS(A125*PI()*Dashboard!$C$12))/(A125*PI())</f>
        <v>-1.6313300762137032E-3</v>
      </c>
      <c r="F125">
        <f>SUM($E$2:E125)</f>
        <v>1.130210456006308</v>
      </c>
      <c r="H125">
        <f>2*SIN(A125*PI()*Dashboard!$C$3)*(COS(A125*PI()*Dashboard!$C$13)-COS(A125*PI()*Dashboard!$C$14))/(A125*PI())</f>
        <v>-7.7704462014283114E-5</v>
      </c>
      <c r="I125">
        <f>SUM($H$2:H125)</f>
        <v>-6.3725659715616265E-2</v>
      </c>
    </row>
    <row r="126" spans="1:9">
      <c r="A126">
        <v>125</v>
      </c>
      <c r="B126">
        <f>2*SIN(A126*PI()*Dashboard!$C$3)*(COS(A126*PI()*Dashboard!$C$9)-COS(A126*PI()*Dashboard!$C$10))/(A126*PI())</f>
        <v>0</v>
      </c>
      <c r="C126">
        <f>SUM($B$2:B126)</f>
        <v>-6.1806175033449484E-2</v>
      </c>
      <c r="E126">
        <f>2*SIN(A126*PI()*Dashboard!$C$3)*(COS(A126*PI()*Dashboard!$C$11)-COS(A126*PI()*Dashboard!$C$12))/(A126*PI())</f>
        <v>-3.6012652646282865E-3</v>
      </c>
      <c r="F126">
        <f>SUM($E$2:E126)</f>
        <v>1.1266091907416798</v>
      </c>
      <c r="H126">
        <f>2*SIN(A126*PI()*Dashboard!$C$3)*(COS(A126*PI()*Dashboard!$C$13)-COS(A126*PI()*Dashboard!$C$14))/(A126*PI())</f>
        <v>-3.601265264628473E-3</v>
      </c>
      <c r="I126">
        <f>SUM($H$2:H126)</f>
        <v>-6.7326924980244743E-2</v>
      </c>
    </row>
    <row r="127" spans="1:9">
      <c r="A127">
        <v>126</v>
      </c>
      <c r="B127">
        <f>2*SIN(A127*PI()*Dashboard!$C$3)*(COS(A127*PI()*Dashboard!$C$9)-COS(A127*PI()*Dashboard!$C$10))/(A127*PI())</f>
        <v>-3.0593774862412368E-3</v>
      </c>
      <c r="C127">
        <f>SUM($B$2:B127)</f>
        <v>-6.4865552519690728E-2</v>
      </c>
      <c r="E127">
        <f>2*SIN(A127*PI()*Dashboard!$C$3)*(COS(A127*PI()*Dashboard!$C$11)-COS(A127*PI()*Dashboard!$C$12))/(A127*PI())</f>
        <v>-5.6566675596173219E-3</v>
      </c>
      <c r="F127">
        <f>SUM($E$2:E127)</f>
        <v>1.1209525231820625</v>
      </c>
      <c r="H127">
        <f>2*SIN(A127*PI()*Dashboard!$C$3)*(COS(A127*PI()*Dashboard!$C$13)-COS(A127*PI()*Dashboard!$C$14))/(A127*PI())</f>
        <v>8.7160450458585587E-3</v>
      </c>
      <c r="I127">
        <f>SUM($H$2:H127)</f>
        <v>-5.8610879934386184E-2</v>
      </c>
    </row>
    <row r="128" spans="1:9">
      <c r="A128">
        <v>127</v>
      </c>
      <c r="B128">
        <f>2*SIN(A128*PI()*Dashboard!$C$3)*(COS(A128*PI()*Dashboard!$C$9)-COS(A128*PI()*Dashboard!$C$10))/(A128*PI())</f>
        <v>1.9781572442090483E-3</v>
      </c>
      <c r="C128">
        <f>SUM($B$2:B128)</f>
        <v>-6.2887395275481678E-2</v>
      </c>
      <c r="E128">
        <f>2*SIN(A128*PI()*Dashboard!$C$3)*(COS(A128*PI()*Dashboard!$C$11)-COS(A128*PI()*Dashboard!$C$12))/(A128*PI())</f>
        <v>-3.5786192709928651E-4</v>
      </c>
      <c r="F128">
        <f>SUM($E$2:E128)</f>
        <v>1.1205946612549633</v>
      </c>
      <c r="H128">
        <f>2*SIN(A128*PI()*Dashboard!$C$3)*(COS(A128*PI()*Dashboard!$C$13)-COS(A128*PI()*Dashboard!$C$14))/(A128*PI())</f>
        <v>5.6670154401431056E-4</v>
      </c>
      <c r="I128">
        <f>SUM($H$2:H128)</f>
        <v>-5.8044178390371876E-2</v>
      </c>
    </row>
    <row r="129" spans="1:9">
      <c r="A129">
        <v>128</v>
      </c>
      <c r="B129">
        <f>2*SIN(A129*PI()*Dashboard!$C$3)*(COS(A129*PI()*Dashboard!$C$9)-COS(A129*PI()*Dashboard!$C$10))/(A129*PI())</f>
        <v>8.9795582589701252E-3</v>
      </c>
      <c r="C129">
        <f>SUM($B$2:B129)</f>
        <v>-5.3907837016511556E-2</v>
      </c>
      <c r="E129">
        <f>2*SIN(A129*PI()*Dashboard!$C$3)*(COS(A129*PI()*Dashboard!$C$11)-COS(A129*PI()*Dashboard!$C$12))/(A129*PI())</f>
        <v>-7.6342187692661472E-3</v>
      </c>
      <c r="F129">
        <f>SUM($E$2:E129)</f>
        <v>1.1129604424856971</v>
      </c>
      <c r="H129">
        <f>2*SIN(A129*PI()*Dashboard!$C$3)*(COS(A129*PI()*Dashboard!$C$13)-COS(A129*PI()*Dashboard!$C$14))/(A129*PI())</f>
        <v>-1.3453394897039767E-3</v>
      </c>
      <c r="I129">
        <f>SUM($H$2:H129)</f>
        <v>-5.9389517880075855E-2</v>
      </c>
    </row>
    <row r="130" spans="1:9">
      <c r="A130">
        <v>129</v>
      </c>
      <c r="B130">
        <f>2*SIN(A130*PI()*Dashboard!$C$3)*(COS(A130*PI()*Dashboard!$C$9)-COS(A130*PI()*Dashboard!$C$10))/(A130*PI())</f>
        <v>1.1551053508971703E-3</v>
      </c>
      <c r="C130">
        <f>SUM($B$2:B130)</f>
        <v>-5.2752731665614387E-2</v>
      </c>
      <c r="E130">
        <f>2*SIN(A130*PI()*Dashboard!$C$3)*(COS(A130*PI()*Dashboard!$C$11)-COS(A130*PI()*Dashboard!$C$12))/(A130*PI())</f>
        <v>-8.948708085509228E-4</v>
      </c>
      <c r="F130">
        <f>SUM($E$2:E130)</f>
        <v>1.1120655716771461</v>
      </c>
      <c r="H130">
        <f>2*SIN(A130*PI()*Dashboard!$C$3)*(COS(A130*PI()*Dashboard!$C$13)-COS(A130*PI()*Dashboard!$C$14))/(A130*PI())</f>
        <v>3.0831337937598942E-3</v>
      </c>
      <c r="I130">
        <f>SUM($H$2:H130)</f>
        <v>-5.6306384086315962E-2</v>
      </c>
    </row>
    <row r="131" spans="1:9">
      <c r="A131">
        <v>130</v>
      </c>
      <c r="B131">
        <f>2*SIN(A131*PI()*Dashboard!$C$3)*(COS(A131*PI()*Dashboard!$C$9)-COS(A131*PI()*Dashboard!$C$10))/(A131*PI())</f>
        <v>0</v>
      </c>
      <c r="C131">
        <f>SUM($B$2:B131)</f>
        <v>-5.2752731665614387E-2</v>
      </c>
      <c r="E131">
        <f>2*SIN(A131*PI()*Dashboard!$C$3)*(COS(A131*PI()*Dashboard!$C$11)-COS(A131*PI()*Dashboard!$C$12))/(A131*PI())</f>
        <v>-5.1860858299412156E-3</v>
      </c>
      <c r="F131">
        <f>SUM($E$2:E131)</f>
        <v>1.1068794858472049</v>
      </c>
      <c r="H131">
        <f>2*SIN(A131*PI()*Dashboard!$C$3)*(COS(A131*PI()*Dashboard!$C$13)-COS(A131*PI()*Dashboard!$C$14))/(A131*PI())</f>
        <v>5.1860858299412156E-3</v>
      </c>
      <c r="I131">
        <f>SUM($H$2:H131)</f>
        <v>-5.1120298256374749E-2</v>
      </c>
    </row>
    <row r="132" spans="1:9">
      <c r="A132">
        <v>131</v>
      </c>
      <c r="B132">
        <f>2*SIN(A132*PI()*Dashboard!$C$3)*(COS(A132*PI()*Dashboard!$C$9)-COS(A132*PI()*Dashboard!$C$10))/(A132*PI())</f>
        <v>-2.6533130495493612E-3</v>
      </c>
      <c r="C132">
        <f>SUM($B$2:B132)</f>
        <v>-5.5406044715163749E-2</v>
      </c>
      <c r="E132">
        <f>2*SIN(A132*PI()*Dashboard!$C$3)*(COS(A132*PI()*Dashboard!$C$11)-COS(A132*PI()*Dashboard!$C$12))/(A132*PI())</f>
        <v>-5.0189312006427142E-3</v>
      </c>
      <c r="F132">
        <f>SUM($E$2:E132)</f>
        <v>1.1018605546465621</v>
      </c>
      <c r="H132">
        <f>2*SIN(A132*PI()*Dashboard!$C$3)*(COS(A132*PI()*Dashboard!$C$13)-COS(A132*PI()*Dashboard!$C$14))/(A132*PI())</f>
        <v>-7.5771866586458039E-6</v>
      </c>
      <c r="I132">
        <f>SUM($H$2:H132)</f>
        <v>-5.1127875443033398E-2</v>
      </c>
    </row>
    <row r="133" spans="1:9">
      <c r="A133">
        <v>132</v>
      </c>
      <c r="B133">
        <f>2*SIN(A133*PI()*Dashboard!$C$3)*(COS(A133*PI()*Dashboard!$C$9)-COS(A133*PI()*Dashboard!$C$10))/(A133*PI())</f>
        <v>3.211763978203407E-3</v>
      </c>
      <c r="C133">
        <f>SUM($B$2:B133)</f>
        <v>-5.2194280736960343E-2</v>
      </c>
      <c r="E133">
        <f>2*SIN(A133*PI()*Dashboard!$C$3)*(COS(A133*PI()*Dashboard!$C$11)-COS(A133*PI()*Dashboard!$C$12))/(A133*PI())</f>
        <v>-1.1036640839312949E-3</v>
      </c>
      <c r="F133">
        <f>SUM($E$2:E133)</f>
        <v>1.1007568905626308</v>
      </c>
      <c r="H133">
        <f>2*SIN(A133*PI()*Dashboard!$C$3)*(COS(A133*PI()*Dashboard!$C$13)-COS(A133*PI()*Dashboard!$C$14))/(A133*PI())</f>
        <v>-2.1080998942721121E-3</v>
      </c>
      <c r="I133">
        <f>SUM($H$2:H133)</f>
        <v>-5.3235975337305508E-2</v>
      </c>
    </row>
    <row r="134" spans="1:9">
      <c r="A134">
        <v>133</v>
      </c>
      <c r="B134">
        <f>2*SIN(A134*PI()*Dashboard!$C$3)*(COS(A134*PI()*Dashboard!$C$9)-COS(A134*PI()*Dashboard!$C$10))/(A134*PI())</f>
        <v>8.6206383243003903E-3</v>
      </c>
      <c r="C134">
        <f>SUM($B$2:B134)</f>
        <v>-4.3573642412659951E-2</v>
      </c>
      <c r="E134">
        <f>2*SIN(A134*PI()*Dashboard!$C$3)*(COS(A134*PI()*Dashboard!$C$11)-COS(A134*PI()*Dashboard!$C$12))/(A134*PI())</f>
        <v>-8.1671038569630389E-3</v>
      </c>
      <c r="F134">
        <f>SUM($E$2:E134)</f>
        <v>1.0925897867056678</v>
      </c>
      <c r="H134">
        <f>2*SIN(A134*PI()*Dashboard!$C$3)*(COS(A134*PI()*Dashboard!$C$13)-COS(A134*PI()*Dashboard!$C$14))/(A134*PI())</f>
        <v>9.0772088602331241E-3</v>
      </c>
      <c r="I134">
        <f>SUM($H$2:H134)</f>
        <v>-4.4158766477072384E-2</v>
      </c>
    </row>
    <row r="135" spans="1:9">
      <c r="A135">
        <v>134</v>
      </c>
      <c r="B135">
        <f>2*SIN(A135*PI()*Dashboard!$C$3)*(COS(A135*PI()*Dashboard!$C$9)-COS(A135*PI()*Dashboard!$C$10))/(A135*PI())</f>
        <v>6.1513292363955233E-4</v>
      </c>
      <c r="C135">
        <f>SUM($B$2:B135)</f>
        <v>-4.2958509489020399E-2</v>
      </c>
      <c r="E135">
        <f>2*SIN(A135*PI()*Dashboard!$C$3)*(COS(A135*PI()*Dashboard!$C$11)-COS(A135*PI()*Dashboard!$C$12))/(A135*PI())</f>
        <v>-2.9235734245765954E-4</v>
      </c>
      <c r="F135">
        <f>SUM($E$2:E135)</f>
        <v>1.0922974293632102</v>
      </c>
      <c r="H135">
        <f>2*SIN(A135*PI()*Dashboard!$C$3)*(COS(A135*PI()*Dashboard!$C$13)-COS(A135*PI()*Dashboard!$C$14))/(A135*PI())</f>
        <v>-3.2277558118189278E-4</v>
      </c>
      <c r="I135">
        <f>SUM($H$2:H135)</f>
        <v>-4.4481542058254275E-2</v>
      </c>
    </row>
    <row r="136" spans="1:9">
      <c r="A136">
        <v>135</v>
      </c>
      <c r="B136">
        <f>2*SIN(A136*PI()*Dashboard!$C$3)*(COS(A136*PI()*Dashboard!$C$9)-COS(A136*PI()*Dashboard!$C$10))/(A136*PI())</f>
        <v>0</v>
      </c>
      <c r="C136">
        <f>SUM($B$2:B136)</f>
        <v>-4.2958509489020399E-2</v>
      </c>
      <c r="E136">
        <f>2*SIN(A136*PI()*Dashboard!$C$3)*(COS(A136*PI()*Dashboard!$C$11)-COS(A136*PI()*Dashboard!$C$12))/(A136*PI())</f>
        <v>-6.6714310568326803E-3</v>
      </c>
      <c r="F136">
        <f>SUM($E$2:E136)</f>
        <v>1.0856259983063774</v>
      </c>
      <c r="H136">
        <f>2*SIN(A136*PI()*Dashboard!$C$3)*(COS(A136*PI()*Dashboard!$C$13)-COS(A136*PI()*Dashboard!$C$14))/(A136*PI())</f>
        <v>-1.7320114706758441E-3</v>
      </c>
      <c r="I136">
        <f>SUM($H$2:H136)</f>
        <v>-4.6213553528930119E-2</v>
      </c>
    </row>
    <row r="137" spans="1:9">
      <c r="A137">
        <v>136</v>
      </c>
      <c r="B137">
        <f>2*SIN(A137*PI()*Dashboard!$C$3)*(COS(A137*PI()*Dashboard!$C$9)-COS(A137*PI()*Dashboard!$C$10))/(A137*PI())</f>
        <v>-2.2141748811520404E-3</v>
      </c>
      <c r="C137">
        <f>SUM($B$2:B137)</f>
        <v>-4.5172684370172439E-2</v>
      </c>
      <c r="E137">
        <f>2*SIN(A137*PI()*Dashboard!$C$3)*(COS(A137*PI()*Dashboard!$C$11)-COS(A137*PI()*Dashboard!$C$12))/(A137*PI())</f>
        <v>-3.9695699960848371E-3</v>
      </c>
      <c r="F137">
        <f>SUM($E$2:E137)</f>
        <v>1.0816564283102925</v>
      </c>
      <c r="H137">
        <f>2*SIN(A137*PI()*Dashboard!$C$3)*(COS(A137*PI()*Dashboard!$C$13)-COS(A137*PI()*Dashboard!$C$14))/(A137*PI())</f>
        <v>6.1837448772368775E-3</v>
      </c>
      <c r="I137">
        <f>SUM($H$2:H137)</f>
        <v>-4.0029808651693241E-2</v>
      </c>
    </row>
    <row r="138" spans="1:9">
      <c r="A138">
        <v>137</v>
      </c>
      <c r="B138">
        <f>2*SIN(A138*PI()*Dashboard!$C$3)*(COS(A138*PI()*Dashboard!$C$9)-COS(A138*PI()*Dashboard!$C$10))/(A138*PI())</f>
        <v>4.2791284245649337E-3</v>
      </c>
      <c r="C138">
        <f>SUM($B$2:B138)</f>
        <v>-4.0893555945607507E-2</v>
      </c>
      <c r="E138">
        <f>2*SIN(A138*PI()*Dashboard!$C$3)*(COS(A138*PI()*Dashboard!$C$11)-COS(A138*PI()*Dashboard!$C$12))/(A138*PI())</f>
        <v>-2.2101531557225272E-3</v>
      </c>
      <c r="F138">
        <f>SUM($E$2:E138)</f>
        <v>1.0794462751545699</v>
      </c>
      <c r="H138">
        <f>2*SIN(A138*PI()*Dashboard!$C$3)*(COS(A138*PI()*Dashboard!$C$13)-COS(A138*PI()*Dashboard!$C$14))/(A138*PI())</f>
        <v>2.6619127635759956E-3</v>
      </c>
      <c r="I138">
        <f>SUM($H$2:H138)</f>
        <v>-3.7367895888117245E-2</v>
      </c>
    </row>
    <row r="139" spans="1:9">
      <c r="A139">
        <v>138</v>
      </c>
      <c r="B139">
        <f>2*SIN(A139*PI()*Dashboard!$C$3)*(COS(A139*PI()*Dashboard!$C$9)-COS(A139*PI()*Dashboard!$C$10))/(A139*PI())</f>
        <v>8.0831492506085109E-3</v>
      </c>
      <c r="C139">
        <f>SUM($B$2:B139)</f>
        <v>-3.2810406694998996E-2</v>
      </c>
      <c r="E139">
        <f>2*SIN(A139*PI()*Dashboard!$C$3)*(COS(A139*PI()*Dashboard!$C$11)-COS(A139*PI()*Dashboard!$C$12))/(A139*PI())</f>
        <v>-8.0479157252414738E-3</v>
      </c>
      <c r="F139">
        <f>SUM($E$2:E139)</f>
        <v>1.0713983594293284</v>
      </c>
      <c r="H139">
        <f>2*SIN(A139*PI()*Dashboard!$C$3)*(COS(A139*PI()*Dashboard!$C$13)-COS(A139*PI()*Dashboard!$C$14))/(A139*PI())</f>
        <v>-3.5233525367036136E-5</v>
      </c>
      <c r="I139">
        <f>SUM($H$2:H139)</f>
        <v>-3.7403129413484282E-2</v>
      </c>
    </row>
    <row r="140" spans="1:9">
      <c r="A140">
        <v>139</v>
      </c>
      <c r="B140">
        <f>2*SIN(A140*PI()*Dashboard!$C$3)*(COS(A140*PI()*Dashboard!$C$9)-COS(A140*PI()*Dashboard!$C$10))/(A140*PI())</f>
        <v>9.9405661738919467E-5</v>
      </c>
      <c r="C140">
        <f>SUM($B$2:B140)</f>
        <v>-3.2711001033260079E-2</v>
      </c>
      <c r="E140">
        <f>2*SIN(A140*PI()*Dashboard!$C$3)*(COS(A140*PI()*Dashboard!$C$11)-COS(A140*PI()*Dashboard!$C$12))/(A140*PI())</f>
        <v>-8.5032857533724784E-6</v>
      </c>
      <c r="F140">
        <f>SUM($E$2:E140)</f>
        <v>1.0713898561435751</v>
      </c>
      <c r="H140">
        <f>2*SIN(A140*PI()*Dashboard!$C$3)*(COS(A140*PI()*Dashboard!$C$13)-COS(A140*PI()*Dashboard!$C$14))/(A140*PI())</f>
        <v>1.9682007429091598E-4</v>
      </c>
      <c r="I140">
        <f>SUM($H$2:H140)</f>
        <v>-3.7206309339193368E-2</v>
      </c>
    </row>
    <row r="141" spans="1:9">
      <c r="A141">
        <v>140</v>
      </c>
      <c r="B141">
        <f>2*SIN(A141*PI()*Dashboard!$C$3)*(COS(A141*PI()*Dashboard!$C$9)-COS(A141*PI()*Dashboard!$C$10))/(A141*PI())</f>
        <v>0</v>
      </c>
      <c r="C141">
        <f>SUM($B$2:B141)</f>
        <v>-3.2711001033260079E-2</v>
      </c>
      <c r="E141">
        <f>2*SIN(A141*PI()*Dashboard!$C$3)*(COS(A141*PI()*Dashboard!$C$11)-COS(A141*PI()*Dashboard!$C$12))/(A141*PI())</f>
        <v>-7.823499508046481E-3</v>
      </c>
      <c r="F141">
        <f>SUM($E$2:E141)</f>
        <v>1.0635663566355287</v>
      </c>
      <c r="H141">
        <f>2*SIN(A141*PI()*Dashboard!$C$3)*(COS(A141*PI()*Dashboard!$C$13)-COS(A141*PI()*Dashboard!$C$14))/(A141*PI())</f>
        <v>7.823499508046481E-3</v>
      </c>
      <c r="I141">
        <f>SUM($H$2:H141)</f>
        <v>-2.9382809831146887E-2</v>
      </c>
    </row>
    <row r="142" spans="1:9">
      <c r="A142">
        <v>141</v>
      </c>
      <c r="B142">
        <f>2*SIN(A142*PI()*Dashboard!$C$3)*(COS(A142*PI()*Dashboard!$C$9)-COS(A142*PI()*Dashboard!$C$10))/(A142*PI())</f>
        <v>-1.7535942748829907E-3</v>
      </c>
      <c r="C142">
        <f>SUM($B$2:B142)</f>
        <v>-3.4464595308143067E-2</v>
      </c>
      <c r="E142">
        <f>2*SIN(A142*PI()*Dashboard!$C$3)*(COS(A142*PI()*Dashboard!$C$11)-COS(A142*PI()*Dashboard!$C$12))/(A142*PI())</f>
        <v>-2.7396593375235544E-3</v>
      </c>
      <c r="F142">
        <f>SUM($E$2:E142)</f>
        <v>1.0608266972980052</v>
      </c>
      <c r="H142">
        <f>2*SIN(A142*PI()*Dashboard!$C$3)*(COS(A142*PI()*Dashboard!$C$13)-COS(A142*PI()*Dashboard!$C$14))/(A142*PI())</f>
        <v>-5.8239733879676138E-4</v>
      </c>
      <c r="I142">
        <f>SUM($H$2:H142)</f>
        <v>-2.9965207169943647E-2</v>
      </c>
    </row>
    <row r="143" spans="1:9">
      <c r="A143">
        <v>142</v>
      </c>
      <c r="B143">
        <f>2*SIN(A143*PI()*Dashboard!$C$3)*(COS(A143*PI()*Dashboard!$C$9)-COS(A143*PI()*Dashboard!$C$10))/(A143*PI())</f>
        <v>5.1696700997085187E-3</v>
      </c>
      <c r="C143">
        <f>SUM($B$2:B143)</f>
        <v>-2.9294925208434547E-2</v>
      </c>
      <c r="E143">
        <f>2*SIN(A143*PI()*Dashboard!$C$3)*(COS(A143*PI()*Dashboard!$C$11)-COS(A143*PI()*Dashboard!$C$12))/(A143*PI())</f>
        <v>-3.5287061749582332E-3</v>
      </c>
      <c r="F143">
        <f>SUM($E$2:E143)</f>
        <v>1.0572979911230469</v>
      </c>
      <c r="H143">
        <f>2*SIN(A143*PI()*Dashboard!$C$3)*(COS(A143*PI()*Dashboard!$C$13)-COS(A143*PI()*Dashboard!$C$14))/(A143*PI())</f>
        <v>-1.6409639247502853E-3</v>
      </c>
      <c r="I143">
        <f>SUM($H$2:H143)</f>
        <v>-3.1606171094693929E-2</v>
      </c>
    </row>
    <row r="144" spans="1:9">
      <c r="A144">
        <v>143</v>
      </c>
      <c r="B144">
        <f>2*SIN(A144*PI()*Dashboard!$C$3)*(COS(A144*PI()*Dashboard!$C$9)-COS(A144*PI()*Dashboard!$C$10))/(A144*PI())</f>
        <v>7.3911720938472786E-3</v>
      </c>
      <c r="C144">
        <f>SUM($B$2:B144)</f>
        <v>-2.1903753114587268E-2</v>
      </c>
      <c r="E144">
        <f>2*SIN(A144*PI()*Dashboard!$C$3)*(COS(A144*PI()*Dashboard!$C$11)-COS(A144*PI()*Dashboard!$C$12))/(A144*PI())</f>
        <v>-7.3188024154382334E-3</v>
      </c>
      <c r="F144">
        <f>SUM($E$2:E144)</f>
        <v>1.0499791887076086</v>
      </c>
      <c r="H144">
        <f>2*SIN(A144*PI()*Dashboard!$C$3)*(COS(A144*PI()*Dashboard!$C$13)-COS(A144*PI()*Dashboard!$C$14))/(A144*PI())</f>
        <v>8.0991092151886882E-3</v>
      </c>
      <c r="I144">
        <f>SUM($H$2:H144)</f>
        <v>-2.3507061879505242E-2</v>
      </c>
    </row>
    <row r="145" spans="1:9">
      <c r="A145">
        <v>144</v>
      </c>
      <c r="B145">
        <f>2*SIN(A145*PI()*Dashboard!$C$3)*(COS(A145*PI()*Dashboard!$C$9)-COS(A145*PI()*Dashboard!$C$10))/(A145*PI())</f>
        <v>-3.8286991478497903E-4</v>
      </c>
      <c r="C145">
        <f>SUM($B$2:B145)</f>
        <v>-2.2286623029372246E-2</v>
      </c>
      <c r="E145">
        <f>2*SIN(A145*PI()*Dashboard!$C$3)*(COS(A145*PI()*Dashboard!$C$11)-COS(A145*PI()*Dashboard!$C$12))/(A145*PI())</f>
        <v>-1.3643274678898633E-4</v>
      </c>
      <c r="F145">
        <f>SUM($E$2:E145)</f>
        <v>1.0498427559608197</v>
      </c>
      <c r="H145">
        <f>2*SIN(A145*PI()*Dashboard!$C$3)*(COS(A145*PI()*Dashboard!$C$13)-COS(A145*PI()*Dashboard!$C$14))/(A145*PI())</f>
        <v>5.1930266157396534E-4</v>
      </c>
      <c r="I145">
        <f>SUM($H$2:H145)</f>
        <v>-2.2987759217931277E-2</v>
      </c>
    </row>
    <row r="146" spans="1:9">
      <c r="A146">
        <v>145</v>
      </c>
      <c r="B146">
        <f>2*SIN(A146*PI()*Dashboard!$C$3)*(COS(A146*PI()*Dashboard!$C$9)-COS(A146*PI()*Dashboard!$C$10))/(A146*PI())</f>
        <v>0</v>
      </c>
      <c r="C146">
        <f>SUM($B$2:B146)</f>
        <v>-2.2286623029372246E-2</v>
      </c>
      <c r="E146">
        <f>2*SIN(A146*PI()*Dashboard!$C$3)*(COS(A146*PI()*Dashboard!$C$11)-COS(A146*PI()*Dashboard!$C$12))/(A146*PI())</f>
        <v>-8.4606143113316878E-3</v>
      </c>
      <c r="F146">
        <f>SUM($E$2:E146)</f>
        <v>1.0413821416494879</v>
      </c>
      <c r="H146">
        <f>2*SIN(A146*PI()*Dashboard!$C$3)*(COS(A146*PI()*Dashboard!$C$13)-COS(A146*PI()*Dashboard!$C$14))/(A146*PI())</f>
        <v>-2.1223984811368884E-4</v>
      </c>
      <c r="I146">
        <f>SUM($H$2:H146)</f>
        <v>-2.3199999066044967E-2</v>
      </c>
    </row>
    <row r="147" spans="1:9">
      <c r="A147">
        <v>146</v>
      </c>
      <c r="B147">
        <f>2*SIN(A147*PI()*Dashboard!$C$3)*(COS(A147*PI()*Dashboard!$C$9)-COS(A147*PI()*Dashboard!$C$10))/(A147*PI())</f>
        <v>-1.2828597181121506E-3</v>
      </c>
      <c r="C147">
        <f>SUM($B$2:B147)</f>
        <v>-2.3569482747484397E-2</v>
      </c>
      <c r="E147">
        <f>2*SIN(A147*PI()*Dashboard!$C$3)*(COS(A147*PI()*Dashboard!$C$11)-COS(A147*PI()*Dashboard!$C$12))/(A147*PI())</f>
        <v>-1.5685133449542176E-3</v>
      </c>
      <c r="F147">
        <f>SUM($E$2:E147)</f>
        <v>1.0398136283045338</v>
      </c>
      <c r="H147">
        <f>2*SIN(A147*PI()*Dashboard!$C$3)*(COS(A147*PI()*Dashboard!$C$13)-COS(A147*PI()*Dashboard!$C$14))/(A147*PI())</f>
        <v>2.8513730630663685E-3</v>
      </c>
      <c r="I147">
        <f>SUM($H$2:H147)</f>
        <v>-2.0348626002978598E-2</v>
      </c>
    </row>
    <row r="148" spans="1:9">
      <c r="A148">
        <v>147</v>
      </c>
      <c r="B148">
        <f>2*SIN(A148*PI()*Dashboard!$C$3)*(COS(A148*PI()*Dashboard!$C$9)-COS(A148*PI()*Dashboard!$C$10))/(A148*PI())</f>
        <v>5.8766660161968711E-3</v>
      </c>
      <c r="C148">
        <f>SUM($B$2:B148)</f>
        <v>-1.7692816731287524E-2</v>
      </c>
      <c r="E148">
        <f>2*SIN(A148*PI()*Dashboard!$C$3)*(COS(A148*PI()*Dashboard!$C$11)-COS(A148*PI()*Dashboard!$C$12))/(A148*PI())</f>
        <v>-4.8519043317770067E-3</v>
      </c>
      <c r="F148">
        <f>SUM($E$2:E148)</f>
        <v>1.0349617239727569</v>
      </c>
      <c r="H148">
        <f>2*SIN(A148*PI()*Dashboard!$C$3)*(COS(A148*PI()*Dashboard!$C$13)-COS(A148*PI()*Dashboard!$C$14))/(A148*PI())</f>
        <v>5.472320470662274E-3</v>
      </c>
      <c r="I148">
        <f>SUM($H$2:H148)</f>
        <v>-1.4876305532316324E-2</v>
      </c>
    </row>
    <row r="149" spans="1:9">
      <c r="A149">
        <v>148</v>
      </c>
      <c r="B149">
        <f>2*SIN(A149*PI()*Dashboard!$C$3)*(COS(A149*PI()*Dashboard!$C$9)-COS(A149*PI()*Dashboard!$C$10))/(A149*PI())</f>
        <v>6.5701034495784221E-3</v>
      </c>
      <c r="C149">
        <f>SUM($B$2:B149)</f>
        <v>-1.1122713281709102E-2</v>
      </c>
      <c r="E149">
        <f>2*SIN(A149*PI()*Dashboard!$C$3)*(COS(A149*PI()*Dashboard!$C$11)-COS(A149*PI()*Dashboard!$C$12))/(A149*PI())</f>
        <v>-6.1208661507246558E-3</v>
      </c>
      <c r="F149">
        <f>SUM($E$2:E149)</f>
        <v>1.0288408578220323</v>
      </c>
      <c r="H149">
        <f>2*SIN(A149*PI()*Dashboard!$C$3)*(COS(A149*PI()*Dashboard!$C$13)-COS(A149*PI()*Dashboard!$C$14))/(A149*PI())</f>
        <v>-4.4923729885376721E-4</v>
      </c>
      <c r="I149">
        <f>SUM($H$2:H149)</f>
        <v>-1.5325542831170092E-2</v>
      </c>
    </row>
    <row r="150" spans="1:9">
      <c r="A150">
        <v>149</v>
      </c>
      <c r="B150">
        <f>2*SIN(A150*PI()*Dashboard!$C$3)*(COS(A150*PI()*Dashboard!$C$9)-COS(A150*PI()*Dashboard!$C$10))/(A150*PI())</f>
        <v>-8.2366683497630232E-4</v>
      </c>
      <c r="C150">
        <f>SUM($B$2:B150)</f>
        <v>-1.1946380116685404E-2</v>
      </c>
      <c r="E150">
        <f>2*SIN(A150*PI()*Dashboard!$C$3)*(COS(A150*PI()*Dashboard!$C$11)-COS(A150*PI()*Dashboard!$C$12))/(A150*PI())</f>
        <v>-6.6479878408414958E-4</v>
      </c>
      <c r="F150">
        <f>SUM($E$2:E150)</f>
        <v>1.0281760590379481</v>
      </c>
      <c r="H150">
        <f>2*SIN(A150*PI()*Dashboard!$C$3)*(COS(A150*PI()*Dashboard!$C$13)-COS(A150*PI()*Dashboard!$C$14))/(A150*PI())</f>
        <v>-8.955780644197039E-4</v>
      </c>
      <c r="I150">
        <f>SUM($H$2:H150)</f>
        <v>-1.6221120895589795E-2</v>
      </c>
    </row>
    <row r="151" spans="1:9">
      <c r="A151">
        <v>150</v>
      </c>
      <c r="B151">
        <f>2*SIN(A151*PI()*Dashboard!$C$3)*(COS(A151*PI()*Dashboard!$C$9)-COS(A151*PI()*Dashboard!$C$10))/(A151*PI())</f>
        <v>0</v>
      </c>
      <c r="C151">
        <f>SUM($B$2:B151)</f>
        <v>-1.1946380116685404E-2</v>
      </c>
      <c r="E151">
        <f>2*SIN(A151*PI()*Dashboard!$C$3)*(COS(A151*PI()*Dashboard!$C$11)-COS(A151*PI()*Dashboard!$C$12))/(A151*PI())</f>
        <v>-8.4882636315677523E-3</v>
      </c>
      <c r="F151">
        <f>SUM($E$2:E151)</f>
        <v>1.0196877954063803</v>
      </c>
      <c r="H151">
        <f>2*SIN(A151*PI()*Dashboard!$C$3)*(COS(A151*PI()*Dashboard!$C$13)-COS(A151*PI()*Dashboard!$C$14))/(A151*PI())</f>
        <v>8.4882636315677523E-3</v>
      </c>
      <c r="I151">
        <f>SUM($H$2:H151)</f>
        <v>-7.732857264022043E-3</v>
      </c>
    </row>
    <row r="152" spans="1:9">
      <c r="A152">
        <v>151</v>
      </c>
      <c r="B152">
        <f>2*SIN(A152*PI()*Dashboard!$C$3)*(COS(A152*PI()*Dashboard!$C$9)-COS(A152*PI()*Dashboard!$C$10))/(A152*PI())</f>
        <v>-8.1275734047327685E-4</v>
      </c>
      <c r="C152">
        <f>SUM($B$2:B152)</f>
        <v>-1.2759137457158681E-2</v>
      </c>
      <c r="E152">
        <f>2*SIN(A152*PI()*Dashboard!$C$3)*(COS(A152*PI()*Dashboard!$C$11)-COS(A152*PI()*Dashboard!$C$12))/(A152*PI())</f>
        <v>-6.5599350217589809E-4</v>
      </c>
      <c r="F152">
        <f>SUM($E$2:E152)</f>
        <v>1.0190318019042044</v>
      </c>
      <c r="H152">
        <f>2*SIN(A152*PI()*Dashboard!$C$3)*(COS(A152*PI()*Dashboard!$C$13)-COS(A152*PI()*Dashboard!$C$14))/(A152*PI())</f>
        <v>-8.8371610330159318E-4</v>
      </c>
      <c r="I152">
        <f>SUM($H$2:H152)</f>
        <v>-8.6165733673236357E-3</v>
      </c>
    </row>
    <row r="153" spans="1:9">
      <c r="A153">
        <v>152</v>
      </c>
      <c r="B153">
        <f>2*SIN(A153*PI()*Dashboard!$C$3)*(COS(A153*PI()*Dashboard!$C$9)-COS(A153*PI()*Dashboard!$C$10))/(A153*PI())</f>
        <v>6.39720599037871E-3</v>
      </c>
      <c r="C153">
        <f>SUM($B$2:B153)</f>
        <v>-6.3619314667799709E-3</v>
      </c>
      <c r="E153">
        <f>2*SIN(A153*PI()*Dashboard!$C$3)*(COS(A153*PI()*Dashboard!$C$11)-COS(A153*PI()*Dashboard!$C$12))/(A153*PI())</f>
        <v>-5.9597907257052307E-3</v>
      </c>
      <c r="F153">
        <f>SUM($E$2:E153)</f>
        <v>1.0130720111784992</v>
      </c>
      <c r="H153">
        <f>2*SIN(A153*PI()*Dashboard!$C$3)*(COS(A153*PI()*Dashboard!$C$13)-COS(A153*PI()*Dashboard!$C$14))/(A153*PI())</f>
        <v>-4.3741526467347869E-4</v>
      </c>
      <c r="I153">
        <f>SUM($H$2:H153)</f>
        <v>-9.053988631997115E-3</v>
      </c>
    </row>
    <row r="154" spans="1:9">
      <c r="A154">
        <v>153</v>
      </c>
      <c r="B154">
        <f>2*SIN(A154*PI()*Dashboard!$C$3)*(COS(A154*PI()*Dashboard!$C$9)-COS(A154*PI()*Dashboard!$C$10))/(A154*PI())</f>
        <v>5.6462085253659346E-3</v>
      </c>
      <c r="C154">
        <f>SUM($B$2:B154)</f>
        <v>-7.1572294141403637E-4</v>
      </c>
      <c r="E154">
        <f>2*SIN(A154*PI()*Dashboard!$C$3)*(COS(A154*PI()*Dashboard!$C$11)-COS(A154*PI()*Dashboard!$C$12))/(A154*PI())</f>
        <v>-4.661633573668362E-3</v>
      </c>
      <c r="F154">
        <f>SUM($E$2:E154)</f>
        <v>1.0084103776048308</v>
      </c>
      <c r="H154">
        <f>2*SIN(A154*PI()*Dashboard!$C$3)*(COS(A154*PI()*Dashboard!$C$13)-COS(A154*PI()*Dashboard!$C$14))/(A154*PI())</f>
        <v>5.257719667891409E-3</v>
      </c>
      <c r="I154">
        <f>SUM($H$2:H154)</f>
        <v>-3.7962689641057061E-3</v>
      </c>
    </row>
    <row r="155" spans="1:9">
      <c r="A155">
        <v>154</v>
      </c>
      <c r="B155">
        <f>2*SIN(A155*PI()*Dashboard!$C$3)*(COS(A155*PI()*Dashboard!$C$9)-COS(A155*PI()*Dashboard!$C$10))/(A155*PI())</f>
        <v>-1.216217654833621E-3</v>
      </c>
      <c r="C155">
        <f>SUM($B$2:B155)</f>
        <v>-1.9319405962476574E-3</v>
      </c>
      <c r="E155">
        <f>2*SIN(A155*PI()*Dashboard!$C$3)*(COS(A155*PI()*Dashboard!$C$11)-COS(A155*PI()*Dashboard!$C$12))/(A155*PI())</f>
        <v>-1.4870321322291585E-3</v>
      </c>
      <c r="F155">
        <f>SUM($E$2:E155)</f>
        <v>1.0069233454726016</v>
      </c>
      <c r="H155">
        <f>2*SIN(A155*PI()*Dashboard!$C$3)*(COS(A155*PI()*Dashboard!$C$13)-COS(A155*PI()*Dashboard!$C$14))/(A155*PI())</f>
        <v>2.70324978706278E-3</v>
      </c>
      <c r="I155">
        <f>SUM($H$2:H155)</f>
        <v>-1.0930191770429261E-3</v>
      </c>
    </row>
    <row r="156" spans="1:9">
      <c r="A156">
        <v>155</v>
      </c>
      <c r="B156">
        <f>2*SIN(A156*PI()*Dashboard!$C$3)*(COS(A156*PI()*Dashboard!$C$9)-COS(A156*PI()*Dashboard!$C$10))/(A156*PI())</f>
        <v>0</v>
      </c>
      <c r="C156">
        <f>SUM($B$2:B156)</f>
        <v>-1.9319405962476574E-3</v>
      </c>
      <c r="E156">
        <f>2*SIN(A156*PI()*Dashboard!$C$3)*(COS(A156*PI()*Dashboard!$C$11)-COS(A156*PI()*Dashboard!$C$12))/(A156*PI())</f>
        <v>-7.9147682267297313E-3</v>
      </c>
      <c r="F156">
        <f>SUM($E$2:E156)</f>
        <v>0.99900857724587189</v>
      </c>
      <c r="H156">
        <f>2*SIN(A156*PI()*Dashboard!$C$3)*(COS(A156*PI()*Dashboard!$C$13)-COS(A156*PI()*Dashboard!$C$14))/(A156*PI())</f>
        <v>-1.9854695468693586E-4</v>
      </c>
      <c r="I156">
        <f>SUM($H$2:H156)</f>
        <v>-1.2915661317298619E-3</v>
      </c>
    </row>
    <row r="157" spans="1:9">
      <c r="A157">
        <v>156</v>
      </c>
      <c r="B157">
        <f>2*SIN(A157*PI()*Dashboard!$C$3)*(COS(A157*PI()*Dashboard!$C$9)-COS(A157*PI()*Dashboard!$C$10))/(A157*PI())</f>
        <v>-3.5341838287845944E-4</v>
      </c>
      <c r="C157">
        <f>SUM($B$2:B157)</f>
        <v>-2.2853589791261169E-3</v>
      </c>
      <c r="E157">
        <f>2*SIN(A157*PI()*Dashboard!$C$3)*(COS(A157*PI()*Dashboard!$C$11)-COS(A157*PI()*Dashboard!$C$12))/(A157*PI())</f>
        <v>-1.259379201129753E-4</v>
      </c>
      <c r="F157">
        <f>SUM($E$2:E157)</f>
        <v>0.99888263932575894</v>
      </c>
      <c r="H157">
        <f>2*SIN(A157*PI()*Dashboard!$C$3)*(COS(A157*PI()*Dashboard!$C$13)-COS(A157*PI()*Dashboard!$C$14))/(A157*PI())</f>
        <v>4.7935630299143474E-4</v>
      </c>
      <c r="I157">
        <f>SUM($H$2:H157)</f>
        <v>-8.1220982873842721E-4</v>
      </c>
    </row>
    <row r="158" spans="1:9">
      <c r="A158">
        <v>157</v>
      </c>
      <c r="B158">
        <f>2*SIN(A158*PI()*Dashboard!$C$3)*(COS(A158*PI()*Dashboard!$C$9)-COS(A158*PI()*Dashboard!$C$10))/(A158*PI())</f>
        <v>6.7320866842046148E-3</v>
      </c>
      <c r="C158">
        <f>SUM($B$2:B158)</f>
        <v>4.4467277050784983E-3</v>
      </c>
      <c r="E158">
        <f>2*SIN(A158*PI()*Dashboard!$C$3)*(COS(A158*PI()*Dashboard!$C$11)-COS(A158*PI()*Dashboard!$C$12))/(A158*PI())</f>
        <v>-6.6661703529148136E-3</v>
      </c>
      <c r="F158">
        <f>SUM($E$2:E158)</f>
        <v>0.9922164689728441</v>
      </c>
      <c r="H158">
        <f>2*SIN(A158*PI()*Dashboard!$C$3)*(COS(A158*PI()*Dashboard!$C$13)-COS(A158*PI()*Dashboard!$C$14))/(A158*PI())</f>
        <v>7.3768956545984263E-3</v>
      </c>
      <c r="I158">
        <f>SUM($H$2:H158)</f>
        <v>6.5646858258599991E-3</v>
      </c>
    </row>
    <row r="159" spans="1:9">
      <c r="A159">
        <v>158</v>
      </c>
      <c r="B159">
        <f>2*SIN(A159*PI()*Dashboard!$C$3)*(COS(A159*PI()*Dashboard!$C$9)-COS(A159*PI()*Dashboard!$C$10))/(A159*PI())</f>
        <v>4.6461592035358336E-3</v>
      </c>
      <c r="C159">
        <f>SUM($B$2:B159)</f>
        <v>9.092886908614331E-3</v>
      </c>
      <c r="E159">
        <f>2*SIN(A159*PI()*Dashboard!$C$3)*(COS(A159*PI()*Dashboard!$C$11)-COS(A159*PI()*Dashboard!$C$12))/(A159*PI())</f>
        <v>-3.1713688407854794E-3</v>
      </c>
      <c r="F159">
        <f>SUM($E$2:E159)</f>
        <v>0.9890451001320586</v>
      </c>
      <c r="H159">
        <f>2*SIN(A159*PI()*Dashboard!$C$3)*(COS(A159*PI()*Dashboard!$C$13)-COS(A159*PI()*Dashboard!$C$14))/(A159*PI())</f>
        <v>-1.4747903627503542E-3</v>
      </c>
      <c r="I159">
        <f>SUM($H$2:H159)</f>
        <v>5.0898954631096449E-3</v>
      </c>
    </row>
    <row r="160" spans="1:9">
      <c r="A160">
        <v>159</v>
      </c>
      <c r="B160">
        <f>2*SIN(A160*PI()*Dashboard!$C$3)*(COS(A160*PI()*Dashboard!$C$9)-COS(A160*PI()*Dashboard!$C$10))/(A160*PI())</f>
        <v>-1.5550741682925134E-3</v>
      </c>
      <c r="C160">
        <f>SUM($B$2:B160)</f>
        <v>7.5378127403218174E-3</v>
      </c>
      <c r="E160">
        <f>2*SIN(A160*PI()*Dashboard!$C$3)*(COS(A160*PI()*Dashboard!$C$11)-COS(A160*PI()*Dashboard!$C$12))/(A160*PI())</f>
        <v>-2.429509223841411E-3</v>
      </c>
      <c r="F160">
        <f>SUM($E$2:E160)</f>
        <v>0.98661559090821715</v>
      </c>
      <c r="H160">
        <f>2*SIN(A160*PI()*Dashboard!$C$3)*(COS(A160*PI()*Dashboard!$C$13)-COS(A160*PI()*Dashboard!$C$14))/(A160*PI())</f>
        <v>-5.1646556459341328E-4</v>
      </c>
      <c r="I160">
        <f>SUM($H$2:H160)</f>
        <v>4.5734298985162314E-3</v>
      </c>
    </row>
    <row r="161" spans="1:9">
      <c r="A161">
        <v>160</v>
      </c>
      <c r="B161">
        <f>2*SIN(A161*PI()*Dashboard!$C$3)*(COS(A161*PI()*Dashboard!$C$9)-COS(A161*PI()*Dashboard!$C$10))/(A161*PI())</f>
        <v>0</v>
      </c>
      <c r="C161">
        <f>SUM($B$2:B161)</f>
        <v>7.5378127403218174E-3</v>
      </c>
      <c r="E161">
        <f>2*SIN(A161*PI()*Dashboard!$C$3)*(COS(A161*PI()*Dashboard!$C$11)-COS(A161*PI()*Dashboard!$C$12))/(A161*PI())</f>
        <v>-6.8455620695407633E-3</v>
      </c>
      <c r="F161">
        <f>SUM($E$2:E161)</f>
        <v>0.97977002883867637</v>
      </c>
      <c r="H161">
        <f>2*SIN(A161*PI()*Dashboard!$C$3)*(COS(A161*PI()*Dashboard!$C$13)-COS(A161*PI()*Dashboard!$C$14))/(A161*PI())</f>
        <v>6.8455620695407633E-3</v>
      </c>
      <c r="I161">
        <f>SUM($H$2:H161)</f>
        <v>1.1418991968056996E-2</v>
      </c>
    </row>
    <row r="162" spans="1:9">
      <c r="A162">
        <v>161</v>
      </c>
      <c r="B162">
        <f>2*SIN(A162*PI()*Dashboard!$C$3)*(COS(A162*PI()*Dashboard!$C$9)-COS(A162*PI()*Dashboard!$C$10))/(A162*PI())</f>
        <v>8.5822279389445938E-5</v>
      </c>
      <c r="C162">
        <f>SUM($B$2:B162)</f>
        <v>7.6236350197112631E-3</v>
      </c>
      <c r="E162">
        <f>2*SIN(A162*PI()*Dashboard!$C$3)*(COS(A162*PI()*Dashboard!$C$11)-COS(A162*PI()*Dashboard!$C$12))/(A162*PI())</f>
        <v>-7.3413460851944454E-6</v>
      </c>
      <c r="F162">
        <f>SUM($E$2:E162)</f>
        <v>0.97976268749259121</v>
      </c>
      <c r="H162">
        <f>2*SIN(A162*PI()*Dashboard!$C$3)*(COS(A162*PI()*Dashboard!$C$13)-COS(A162*PI()*Dashboard!$C$14))/(A162*PI())</f>
        <v>1.699254057541625E-4</v>
      </c>
      <c r="I162">
        <f>SUM($H$2:H162)</f>
        <v>1.1588917373811158E-2</v>
      </c>
    </row>
    <row r="163" spans="1:9">
      <c r="A163">
        <v>162</v>
      </c>
      <c r="B163">
        <f>2*SIN(A163*PI()*Dashboard!$C$3)*(COS(A163*PI()*Dashboard!$C$9)-COS(A163*PI()*Dashboard!$C$10))/(A163*PI())</f>
        <v>6.8856456579255883E-3</v>
      </c>
      <c r="C163">
        <f>SUM($B$2:B163)</f>
        <v>1.4509280677636852E-2</v>
      </c>
      <c r="E163">
        <f>2*SIN(A163*PI()*Dashboard!$C$3)*(COS(A163*PI()*Dashboard!$C$11)-COS(A163*PI()*Dashboard!$C$12))/(A163*PI())</f>
        <v>-6.8556319140944209E-3</v>
      </c>
      <c r="F163">
        <f>SUM($E$2:E163)</f>
        <v>0.97290705557849677</v>
      </c>
      <c r="H163">
        <f>2*SIN(A163*PI()*Dashboard!$C$3)*(COS(A163*PI()*Dashboard!$C$13)-COS(A163*PI()*Dashboard!$C$14))/(A163*PI())</f>
        <v>-3.0013743831167581E-5</v>
      </c>
      <c r="I163">
        <f>SUM($H$2:H163)</f>
        <v>1.1558903629979991E-2</v>
      </c>
    </row>
    <row r="164" spans="1:9">
      <c r="A164">
        <v>163</v>
      </c>
      <c r="B164">
        <f>2*SIN(A164*PI()*Dashboard!$C$3)*(COS(A164*PI()*Dashboard!$C$9)-COS(A164*PI()*Dashboard!$C$10))/(A164*PI())</f>
        <v>3.5965680623647614E-3</v>
      </c>
      <c r="C164">
        <f>SUM($B$2:B164)</f>
        <v>1.8105848740001613E-2</v>
      </c>
      <c r="E164">
        <f>2*SIN(A164*PI()*Dashboard!$C$3)*(COS(A164*PI()*Dashboard!$C$11)-COS(A164*PI()*Dashboard!$C$12))/(A164*PI())</f>
        <v>-1.8576133885523948E-3</v>
      </c>
      <c r="F164">
        <f>SUM($E$2:E164)</f>
        <v>0.97104944218994438</v>
      </c>
      <c r="H164">
        <f>2*SIN(A164*PI()*Dashboard!$C$3)*(COS(A164*PI()*Dashboard!$C$13)-COS(A164*PI()*Dashboard!$C$14))/(A164*PI())</f>
        <v>2.2373131816561765E-3</v>
      </c>
      <c r="I164">
        <f>SUM($H$2:H164)</f>
        <v>1.3796216811636168E-2</v>
      </c>
    </row>
    <row r="165" spans="1:9">
      <c r="A165">
        <v>164</v>
      </c>
      <c r="B165">
        <f>2*SIN(A165*PI()*Dashboard!$C$3)*(COS(A165*PI()*Dashboard!$C$9)-COS(A165*PI()*Dashboard!$C$10))/(A165*PI())</f>
        <v>-1.8361450233943923E-3</v>
      </c>
      <c r="C165">
        <f>SUM($B$2:B165)</f>
        <v>1.6269703716607221E-2</v>
      </c>
      <c r="E165">
        <f>2*SIN(A165*PI()*Dashboard!$C$3)*(COS(A165*PI()*Dashboard!$C$11)-COS(A165*PI()*Dashboard!$C$12))/(A165*PI())</f>
        <v>-3.2918385333383497E-3</v>
      </c>
      <c r="F165">
        <f>SUM($E$2:E165)</f>
        <v>0.96775760365660601</v>
      </c>
      <c r="H165">
        <f>2*SIN(A165*PI()*Dashboard!$C$3)*(COS(A165*PI()*Dashboard!$C$13)-COS(A165*PI()*Dashboard!$C$14))/(A165*PI())</f>
        <v>5.1279835567327424E-3</v>
      </c>
      <c r="I165">
        <f>SUM($H$2:H165)</f>
        <v>1.892420036836891E-2</v>
      </c>
    </row>
    <row r="166" spans="1:9">
      <c r="A166">
        <v>165</v>
      </c>
      <c r="B166">
        <f>2*SIN(A166*PI()*Dashboard!$C$3)*(COS(A166*PI()*Dashboard!$C$9)-COS(A166*PI()*Dashboard!$C$10))/(A166*PI())</f>
        <v>0</v>
      </c>
      <c r="C166">
        <f>SUM($B$2:B166)</f>
        <v>1.6269703716607221E-2</v>
      </c>
      <c r="E166">
        <f>2*SIN(A166*PI()*Dashboard!$C$3)*(COS(A166*PI()*Dashboard!$C$11)-COS(A166*PI()*Dashboard!$C$12))/(A166*PI())</f>
        <v>-5.4584435919542845E-3</v>
      </c>
      <c r="F166">
        <f>SUM($E$2:E166)</f>
        <v>0.96229916006465177</v>
      </c>
      <c r="H166">
        <f>2*SIN(A166*PI()*Dashboard!$C$3)*(COS(A166*PI()*Dashboard!$C$13)-COS(A166*PI()*Dashboard!$C$14))/(A166*PI())</f>
        <v>-1.4171002941892189E-3</v>
      </c>
      <c r="I166">
        <f>SUM($H$2:H166)</f>
        <v>1.7507100074179691E-2</v>
      </c>
    </row>
    <row r="167" spans="1:9">
      <c r="A167">
        <v>166</v>
      </c>
      <c r="B167">
        <f>2*SIN(A167*PI()*Dashboard!$C$3)*(COS(A167*PI()*Dashboard!$C$9)-COS(A167*PI()*Dashboard!$C$10))/(A167*PI())</f>
        <v>4.9655308293781943E-4</v>
      </c>
      <c r="C167">
        <f>SUM($B$2:B167)</f>
        <v>1.6766256799545042E-2</v>
      </c>
      <c r="E167">
        <f>2*SIN(A167*PI()*Dashboard!$C$3)*(COS(A167*PI()*Dashboard!$C$11)-COS(A167*PI()*Dashboard!$C$12))/(A167*PI())</f>
        <v>-2.3599930053803004E-4</v>
      </c>
      <c r="F167">
        <f>SUM($E$2:E167)</f>
        <v>0.96206316076411369</v>
      </c>
      <c r="H167">
        <f>2*SIN(A167*PI()*Dashboard!$C$3)*(COS(A167*PI()*Dashboard!$C$13)-COS(A167*PI()*Dashboard!$C$14))/(A167*PI())</f>
        <v>-2.6055378239978944E-4</v>
      </c>
      <c r="I167">
        <f>SUM($H$2:H167)</f>
        <v>1.72465462917799E-2</v>
      </c>
    </row>
    <row r="168" spans="1:9">
      <c r="A168">
        <v>167</v>
      </c>
      <c r="B168">
        <f>2*SIN(A168*PI()*Dashboard!$C$3)*(COS(A168*PI()*Dashboard!$C$9)-COS(A168*PI()*Dashboard!$C$10))/(A168*PI())</f>
        <v>6.865538306179227E-3</v>
      </c>
      <c r="C168">
        <f>SUM($B$2:B168)</f>
        <v>2.3631795105724267E-2</v>
      </c>
      <c r="E168">
        <f>2*SIN(A168*PI()*Dashboard!$C$3)*(COS(A168*PI()*Dashboard!$C$11)-COS(A168*PI()*Dashboard!$C$12))/(A168*PI())</f>
        <v>-6.5043401974614464E-3</v>
      </c>
      <c r="F168">
        <f>SUM($E$2:E168)</f>
        <v>0.9555588205666522</v>
      </c>
      <c r="H168">
        <f>2*SIN(A168*PI()*Dashboard!$C$3)*(COS(A168*PI()*Dashboard!$C$13)-COS(A168*PI()*Dashboard!$C$14))/(A168*PI())</f>
        <v>7.2291543617425055E-3</v>
      </c>
      <c r="I168">
        <f>SUM($H$2:H168)</f>
        <v>2.4475700653522406E-2</v>
      </c>
    </row>
    <row r="169" spans="1:9">
      <c r="A169">
        <v>168</v>
      </c>
      <c r="B169">
        <f>2*SIN(A169*PI()*Dashboard!$C$3)*(COS(A169*PI()*Dashboard!$C$9)-COS(A169*PI()*Dashboard!$C$10))/(A169*PI())</f>
        <v>2.5235288400170934E-3</v>
      </c>
      <c r="C169">
        <f>SUM($B$2:B169)</f>
        <v>2.6155323945741361E-2</v>
      </c>
      <c r="E169">
        <f>2*SIN(A169*PI()*Dashboard!$C$3)*(COS(A169*PI()*Dashboard!$C$11)-COS(A169*PI()*Dashboard!$C$12))/(A169*PI())</f>
        <v>-8.6716463737467238E-4</v>
      </c>
      <c r="F169">
        <f>SUM($E$2:E169)</f>
        <v>0.95469165592927752</v>
      </c>
      <c r="H169">
        <f>2*SIN(A169*PI()*Dashboard!$C$3)*(COS(A169*PI()*Dashboard!$C$13)-COS(A169*PI()*Dashboard!$C$14))/(A169*PI())</f>
        <v>-1.6563642026424209E-3</v>
      </c>
      <c r="I169">
        <f>SUM($H$2:H169)</f>
        <v>2.2819336450879985E-2</v>
      </c>
    </row>
    <row r="170" spans="1:9">
      <c r="A170">
        <v>169</v>
      </c>
      <c r="B170">
        <f>2*SIN(A170*PI()*Dashboard!$C$3)*(COS(A170*PI()*Dashboard!$C$9)-COS(A170*PI()*Dashboard!$C$10))/(A170*PI())</f>
        <v>-2.0567101153312539E-3</v>
      </c>
      <c r="C170">
        <f>SUM($B$2:B170)</f>
        <v>2.4098613830410107E-2</v>
      </c>
      <c r="E170">
        <f>2*SIN(A170*PI()*Dashboard!$C$3)*(COS(A170*PI()*Dashboard!$C$11)-COS(A170*PI()*Dashboard!$C$12))/(A170*PI())</f>
        <v>-3.8904141259418082E-3</v>
      </c>
      <c r="F170">
        <f>SUM($E$2:E170)</f>
        <v>0.95080124180333569</v>
      </c>
      <c r="H170">
        <f>2*SIN(A170*PI()*Dashboard!$C$3)*(COS(A170*PI()*Dashboard!$C$13)-COS(A170*PI()*Dashboard!$C$14))/(A170*PI())</f>
        <v>-5.873440546049813E-6</v>
      </c>
      <c r="I170">
        <f>SUM($H$2:H170)</f>
        <v>2.2813463010333934E-2</v>
      </c>
    </row>
    <row r="171" spans="1:9">
      <c r="A171">
        <v>170</v>
      </c>
      <c r="B171">
        <f>2*SIN(A171*PI()*Dashboard!$C$3)*(COS(A171*PI()*Dashboard!$C$9)-COS(A171*PI()*Dashboard!$C$10))/(A171*PI())</f>
        <v>0</v>
      </c>
      <c r="C171">
        <f>SUM($B$2:B171)</f>
        <v>2.4098613830410107E-2</v>
      </c>
      <c r="E171">
        <f>2*SIN(A171*PI()*Dashboard!$C$3)*(COS(A171*PI()*Dashboard!$C$11)-COS(A171*PI()*Dashboard!$C$12))/(A171*PI())</f>
        <v>-3.9658303405434832E-3</v>
      </c>
      <c r="F171">
        <f>SUM($E$2:E171)</f>
        <v>0.94683541146279226</v>
      </c>
      <c r="H171">
        <f>2*SIN(A171*PI()*Dashboard!$C$3)*(COS(A171*PI()*Dashboard!$C$13)-COS(A171*PI()*Dashboard!$C$14))/(A171*PI())</f>
        <v>3.9658303405434832E-3</v>
      </c>
      <c r="I171">
        <f>SUM($H$2:H171)</f>
        <v>2.6779293350877417E-2</v>
      </c>
    </row>
    <row r="172" spans="1:9">
      <c r="A172">
        <v>171</v>
      </c>
      <c r="B172">
        <f>2*SIN(A172*PI()*Dashboard!$C$3)*(COS(A172*PI()*Dashboard!$C$9)-COS(A172*PI()*Dashboard!$C$10))/(A172*PI())</f>
        <v>8.7139526471173481E-4</v>
      </c>
      <c r="C172">
        <f>SUM($B$2:B172)</f>
        <v>2.4970009095121842E-2</v>
      </c>
      <c r="E172">
        <f>2*SIN(A172*PI()*Dashboard!$C$3)*(COS(A172*PI()*Dashboard!$C$11)-COS(A172*PI()*Dashboard!$C$12))/(A172*PI())</f>
        <v>-6.7507797838036549E-4</v>
      </c>
      <c r="F172">
        <f>SUM($E$2:E172)</f>
        <v>0.94616033348441186</v>
      </c>
      <c r="H172">
        <f>2*SIN(A172*PI()*Dashboard!$C$3)*(COS(A172*PI()*Dashboard!$C$13)-COS(A172*PI()*Dashboard!$C$14))/(A172*PI())</f>
        <v>2.3258728619588989E-3</v>
      </c>
      <c r="I172">
        <f>SUM($H$2:H172)</f>
        <v>2.9105166212836316E-2</v>
      </c>
    </row>
    <row r="173" spans="1:9">
      <c r="A173">
        <v>172</v>
      </c>
      <c r="B173">
        <f>2*SIN(A173*PI()*Dashboard!$C$3)*(COS(A173*PI()*Dashboard!$C$9)-COS(A173*PI()*Dashboard!$C$10))/(A173*PI())</f>
        <v>6.6824619601637391E-3</v>
      </c>
      <c r="C173">
        <f>SUM($B$2:B173)</f>
        <v>3.1652471055285583E-2</v>
      </c>
      <c r="E173">
        <f>2*SIN(A173*PI()*Dashboard!$C$3)*(COS(A173*PI()*Dashboard!$C$11)-COS(A173*PI()*Dashboard!$C$12))/(A173*PI())</f>
        <v>-5.6812790841050927E-3</v>
      </c>
      <c r="F173">
        <f>SUM($E$2:E173)</f>
        <v>0.94047905440030677</v>
      </c>
      <c r="H173">
        <f>2*SIN(A173*PI()*Dashboard!$C$3)*(COS(A173*PI()*Dashboard!$C$13)-COS(A173*PI()*Dashboard!$C$14))/(A173*PI())</f>
        <v>-1.0011828760586475E-3</v>
      </c>
      <c r="I173">
        <f>SUM($H$2:H173)</f>
        <v>2.8103983336777667E-2</v>
      </c>
    </row>
    <row r="174" spans="1:9">
      <c r="A174">
        <v>173</v>
      </c>
      <c r="B174">
        <f>2*SIN(A174*PI()*Dashboard!$C$3)*(COS(A174*PI()*Dashboard!$C$9)-COS(A174*PI()*Dashboard!$C$10))/(A174*PI())</f>
        <v>1.4521732370786447E-3</v>
      </c>
      <c r="C174">
        <f>SUM($B$2:B174)</f>
        <v>3.3104644292364226E-2</v>
      </c>
      <c r="E174">
        <f>2*SIN(A174*PI()*Dashboard!$C$3)*(COS(A174*PI()*Dashboard!$C$11)-COS(A174*PI()*Dashboard!$C$12))/(A174*PI())</f>
        <v>-2.6270788867991453E-4</v>
      </c>
      <c r="F174">
        <f>SUM($E$2:E174)</f>
        <v>0.94021634651162689</v>
      </c>
      <c r="H174">
        <f>2*SIN(A174*PI()*Dashboard!$C$3)*(COS(A174*PI()*Dashboard!$C$13)-COS(A174*PI()*Dashboard!$C$14))/(A174*PI())</f>
        <v>4.1601789647303667E-4</v>
      </c>
      <c r="I174">
        <f>SUM($H$2:H174)</f>
        <v>2.8520001233250703E-2</v>
      </c>
    </row>
    <row r="175" spans="1:9">
      <c r="A175">
        <v>174</v>
      </c>
      <c r="B175">
        <f>2*SIN(A175*PI()*Dashboard!$C$3)*(COS(A175*PI()*Dashboard!$C$9)-COS(A175*PI()*Dashboard!$C$10))/(A175*PI())</f>
        <v>-2.2154112831403671E-3</v>
      </c>
      <c r="C175">
        <f>SUM($B$2:B175)</f>
        <v>3.088923300922386E-2</v>
      </c>
      <c r="E175">
        <f>2*SIN(A175*PI()*Dashboard!$C$3)*(COS(A175*PI()*Dashboard!$C$11)-COS(A175*PI()*Dashboard!$C$12))/(A175*PI())</f>
        <v>-4.0962075431708808E-3</v>
      </c>
      <c r="F175">
        <f>SUM($E$2:E175)</f>
        <v>0.93612013896845603</v>
      </c>
      <c r="H175">
        <f>2*SIN(A175*PI()*Dashboard!$C$3)*(COS(A175*PI()*Dashboard!$C$13)-COS(A175*PI()*Dashboard!$C$14))/(A175*PI())</f>
        <v>6.3116188263112483E-3</v>
      </c>
      <c r="I175">
        <f>SUM($H$2:H175)</f>
        <v>3.4831620059561953E-2</v>
      </c>
    </row>
    <row r="176" spans="1:9">
      <c r="A176">
        <v>175</v>
      </c>
      <c r="B176">
        <f>2*SIN(A176*PI()*Dashboard!$C$3)*(COS(A176*PI()*Dashboard!$C$9)-COS(A176*PI()*Dashboard!$C$10))/(A176*PI())</f>
        <v>0</v>
      </c>
      <c r="C176">
        <f>SUM($B$2:B176)</f>
        <v>3.088923300922386E-2</v>
      </c>
      <c r="E176">
        <f>2*SIN(A176*PI()*Dashboard!$C$3)*(COS(A176*PI()*Dashboard!$C$11)-COS(A176*PI()*Dashboard!$C$12))/(A176*PI())</f>
        <v>-2.5723323318775997E-3</v>
      </c>
      <c r="F176">
        <f>SUM($E$2:E176)</f>
        <v>0.93354780663657844</v>
      </c>
      <c r="H176">
        <f>2*SIN(A176*PI()*Dashboard!$C$3)*(COS(A176*PI()*Dashboard!$C$13)-COS(A176*PI()*Dashboard!$C$14))/(A176*PI())</f>
        <v>-2.5723323318774709E-3</v>
      </c>
      <c r="I176">
        <f>SUM($H$2:H176)</f>
        <v>3.225928772768448E-2</v>
      </c>
    </row>
    <row r="177" spans="1:9">
      <c r="A177">
        <v>176</v>
      </c>
      <c r="B177">
        <f>2*SIN(A177*PI()*Dashboard!$C$3)*(COS(A177*PI()*Dashboard!$C$9)-COS(A177*PI()*Dashboard!$C$10))/(A177*PI())</f>
        <v>1.2040925155694339E-3</v>
      </c>
      <c r="C177">
        <f>SUM($B$2:B177)</f>
        <v>3.2093325524793291E-2</v>
      </c>
      <c r="E177">
        <f>2*SIN(A177*PI()*Dashboard!$C$3)*(COS(A177*PI()*Dashboard!$C$11)-COS(A177*PI()*Dashboard!$C$12))/(A177*PI())</f>
        <v>-1.1493461900593561E-3</v>
      </c>
      <c r="F177">
        <f>SUM($E$2:E177)</f>
        <v>0.93239846044651908</v>
      </c>
      <c r="H177">
        <f>2*SIN(A177*PI()*Dashboard!$C$3)*(COS(A177*PI()*Dashboard!$C$13)-COS(A177*PI()*Dashboard!$C$14))/(A177*PI())</f>
        <v>-5.4746325510077653E-5</v>
      </c>
      <c r="I177">
        <f>SUM($H$2:H177)</f>
        <v>3.2204541402174401E-2</v>
      </c>
    </row>
    <row r="178" spans="1:9">
      <c r="A178">
        <v>177</v>
      </c>
      <c r="B178">
        <f>2*SIN(A178*PI()*Dashboard!$C$3)*(COS(A178*PI()*Dashboard!$C$9)-COS(A178*PI()*Dashboard!$C$10))/(A178*PI())</f>
        <v>6.3498326659007544E-3</v>
      </c>
      <c r="C178">
        <f>SUM($B$2:B178)</f>
        <v>3.8443158190694049E-2</v>
      </c>
      <c r="E178">
        <f>2*SIN(A178*PI()*Dashboard!$C$3)*(COS(A178*PI()*Dashboard!$C$11)-COS(A178*PI()*Dashboard!$C$12))/(A178*PI())</f>
        <v>-4.5307356317631714E-3</v>
      </c>
      <c r="F178">
        <f>SUM($E$2:E178)</f>
        <v>0.92786772481475588</v>
      </c>
      <c r="H178">
        <f>2*SIN(A178*PI()*Dashboard!$C$3)*(COS(A178*PI()*Dashboard!$C$13)-COS(A178*PI()*Dashboard!$C$14))/(A178*PI())</f>
        <v>5.2011053029828091E-3</v>
      </c>
      <c r="I178">
        <f>SUM($H$2:H178)</f>
        <v>3.7405646705157211E-2</v>
      </c>
    </row>
    <row r="179" spans="1:9">
      <c r="A179">
        <v>178</v>
      </c>
      <c r="B179">
        <f>2*SIN(A179*PI()*Dashboard!$C$3)*(COS(A179*PI()*Dashboard!$C$9)-COS(A179*PI()*Dashboard!$C$10))/(A179*PI())</f>
        <v>4.0625324580517502E-4</v>
      </c>
      <c r="C179">
        <f>SUM($B$2:B179)</f>
        <v>3.8849411436499226E-2</v>
      </c>
      <c r="E179">
        <f>2*SIN(A179*PI()*Dashboard!$C$3)*(COS(A179*PI()*Dashboard!$C$11)-COS(A179*PI()*Dashboard!$C$12))/(A179*PI())</f>
        <v>-1.7976563513444273E-5</v>
      </c>
      <c r="F179">
        <f>SUM($E$2:E179)</f>
        <v>0.92784974825124245</v>
      </c>
      <c r="H179">
        <f>2*SIN(A179*PI()*Dashboard!$C$3)*(COS(A179*PI()*Dashboard!$C$13)-COS(A179*PI()*Dashboard!$C$14))/(A179*PI())</f>
        <v>-3.8827668229173072E-4</v>
      </c>
      <c r="I179">
        <f>SUM($H$2:H179)</f>
        <v>3.7017370022865481E-2</v>
      </c>
    </row>
    <row r="180" spans="1:9">
      <c r="A180">
        <v>179</v>
      </c>
      <c r="B180">
        <f>2*SIN(A180*PI()*Dashboard!$C$3)*(COS(A180*PI()*Dashboard!$C$9)-COS(A180*PI()*Dashboard!$C$10))/(A180*PI())</f>
        <v>-2.3122194503590334E-3</v>
      </c>
      <c r="C180">
        <f>SUM($B$2:B180)</f>
        <v>3.6537191986140194E-2</v>
      </c>
      <c r="E180">
        <f>2*SIN(A180*PI()*Dashboard!$C$3)*(COS(A180*PI()*Dashboard!$C$11)-COS(A180*PI()*Dashboard!$C$12))/(A180*PI())</f>
        <v>-3.8594097611704386E-3</v>
      </c>
      <c r="F180">
        <f>SUM($E$2:E180)</f>
        <v>0.92399033849007206</v>
      </c>
      <c r="H180">
        <f>2*SIN(A180*PI()*Dashboard!$C$3)*(COS(A180*PI()*Dashboard!$C$13)-COS(A180*PI()*Dashboard!$C$14))/(A180*PI())</f>
        <v>-5.209216371484484E-4</v>
      </c>
      <c r="I180">
        <f>SUM($H$2:H180)</f>
        <v>3.6496448385717035E-2</v>
      </c>
    </row>
    <row r="181" spans="1:9">
      <c r="A181">
        <v>180</v>
      </c>
      <c r="B181">
        <f>2*SIN(A181*PI()*Dashboard!$C$3)*(COS(A181*PI()*Dashboard!$C$9)-COS(A181*PI()*Dashboard!$C$10))/(A181*PI())</f>
        <v>0</v>
      </c>
      <c r="C181">
        <f>SUM($B$2:B181)</f>
        <v>3.6537191986140194E-2</v>
      </c>
      <c r="E181">
        <f>2*SIN(A181*PI()*Dashboard!$C$3)*(COS(A181*PI()*Dashboard!$C$11)-COS(A181*PI()*Dashboard!$C$12))/(A181*PI())</f>
        <v>-1.4364604378717964E-3</v>
      </c>
      <c r="F181">
        <f>SUM($E$2:E181)</f>
        <v>0.92255387805220024</v>
      </c>
      <c r="H181">
        <f>2*SIN(A181*PI()*Dashboard!$C$3)*(COS(A181*PI()*Dashboard!$C$13)-COS(A181*PI()*Dashboard!$C$14))/(A181*PI())</f>
        <v>1.4364604378717964E-3</v>
      </c>
      <c r="I181">
        <f>SUM($H$2:H181)</f>
        <v>3.793290882358883E-2</v>
      </c>
    </row>
    <row r="182" spans="1:9">
      <c r="A182">
        <v>181</v>
      </c>
      <c r="B182">
        <f>2*SIN(A182*PI()*Dashboard!$C$3)*(COS(A182*PI()*Dashboard!$C$9)-COS(A182*PI()*Dashboard!$C$10))/(A182*PI())</f>
        <v>1.4895789753071997E-3</v>
      </c>
      <c r="C182">
        <f>SUM($B$2:B182)</f>
        <v>3.8026770961447395E-2</v>
      </c>
      <c r="E182">
        <f>2*SIN(A182*PI()*Dashboard!$C$3)*(COS(A182*PI()*Dashboard!$C$11)-COS(A182*PI()*Dashboard!$C$12))/(A182*PI())</f>
        <v>-1.4853251169316855E-3</v>
      </c>
      <c r="F182">
        <f>SUM($E$2:E182)</f>
        <v>0.92106855293526857</v>
      </c>
      <c r="H182">
        <f>2*SIN(A182*PI()*Dashboard!$C$3)*(COS(A182*PI()*Dashboard!$C$13)-COS(A182*PI()*Dashboard!$C$14))/(A182*PI())</f>
        <v>4.307224030895616E-3</v>
      </c>
      <c r="I182">
        <f>SUM($H$2:H182)</f>
        <v>4.2240132854484448E-2</v>
      </c>
    </row>
    <row r="183" spans="1:9">
      <c r="A183">
        <v>182</v>
      </c>
      <c r="B183">
        <f>2*SIN(A183*PI()*Dashboard!$C$3)*(COS(A183*PI()*Dashboard!$C$9)-COS(A183*PI()*Dashboard!$C$10))/(A183*PI())</f>
        <v>5.8834211906664165E-3</v>
      </c>
      <c r="C183">
        <f>SUM($B$2:B183)</f>
        <v>4.3910192152113808E-2</v>
      </c>
      <c r="E183">
        <f>2*SIN(A183*PI()*Dashboard!$C$3)*(COS(A183*PI()*Dashboard!$C$11)-COS(A183*PI()*Dashboard!$C$12))/(A183*PI())</f>
        <v>-3.2405615555363785E-3</v>
      </c>
      <c r="F183">
        <f>SUM($E$2:E183)</f>
        <v>0.91782799137973214</v>
      </c>
      <c r="H183">
        <f>2*SIN(A183*PI()*Dashboard!$C$3)*(COS(A183*PI()*Dashboard!$C$13)-COS(A183*PI()*Dashboard!$C$14))/(A183*PI())</f>
        <v>-2.6428596351300384E-3</v>
      </c>
      <c r="I183">
        <f>SUM($H$2:H183)</f>
        <v>3.9597273219354412E-2</v>
      </c>
    </row>
    <row r="184" spans="1:9">
      <c r="A184">
        <v>183</v>
      </c>
      <c r="B184">
        <f>2*SIN(A184*PI()*Dashboard!$C$3)*(COS(A184*PI()*Dashboard!$C$9)-COS(A184*PI()*Dashboard!$C$10))/(A184*PI())</f>
        <v>-5.922426364783134E-4</v>
      </c>
      <c r="C184">
        <f>SUM($B$2:B184)</f>
        <v>4.3317949515635494E-2</v>
      </c>
      <c r="E184">
        <f>2*SIN(A184*PI()*Dashboard!$C$3)*(COS(A184*PI()*Dashboard!$C$11)-COS(A184*PI()*Dashboard!$C$12))/(A184*PI())</f>
        <v>-3.1366649169915229E-5</v>
      </c>
      <c r="F184">
        <f>SUM($E$2:E184)</f>
        <v>0.91779662473056223</v>
      </c>
      <c r="H184">
        <f>2*SIN(A184*PI()*Dashboard!$C$3)*(COS(A184*PI()*Dashboard!$C$13)-COS(A184*PI()*Dashboard!$C$14))/(A184*PI())</f>
        <v>-3.1158069572706559E-5</v>
      </c>
      <c r="I184">
        <f>SUM($H$2:H184)</f>
        <v>3.9566115149781707E-2</v>
      </c>
    </row>
    <row r="185" spans="1:9">
      <c r="A185">
        <v>184</v>
      </c>
      <c r="B185">
        <f>2*SIN(A185*PI()*Dashboard!$C$3)*(COS(A185*PI()*Dashboard!$C$9)-COS(A185*PI()*Dashboard!$C$10))/(A185*PI())</f>
        <v>-2.3483789210633423E-3</v>
      </c>
      <c r="C185">
        <f>SUM($B$2:B185)</f>
        <v>4.0969570594572152E-2</v>
      </c>
      <c r="E185">
        <f>2*SIN(A185*PI()*Dashboard!$C$3)*(COS(A185*PI()*Dashboard!$C$11)-COS(A185*PI()*Dashboard!$C$12))/(A185*PI())</f>
        <v>-3.2165799144881976E-3</v>
      </c>
      <c r="F185">
        <f>SUM($E$2:E185)</f>
        <v>0.91458004481607402</v>
      </c>
      <c r="H185">
        <f>2*SIN(A185*PI()*Dashboard!$C$3)*(COS(A185*PI()*Dashboard!$C$13)-COS(A185*PI()*Dashboard!$C$14))/(A185*PI())</f>
        <v>5.5649588355515403E-3</v>
      </c>
      <c r="I185">
        <f>SUM($H$2:H185)</f>
        <v>4.5131073985333246E-2</v>
      </c>
    </row>
    <row r="186" spans="1:9">
      <c r="A186">
        <v>185</v>
      </c>
      <c r="B186">
        <f>2*SIN(A186*PI()*Dashboard!$C$3)*(COS(A186*PI()*Dashboard!$C$9)-COS(A186*PI()*Dashboard!$C$10))/(A186*PI())</f>
        <v>0</v>
      </c>
      <c r="C186">
        <f>SUM($B$2:B186)</f>
        <v>4.0969570594572152E-2</v>
      </c>
      <c r="E186">
        <f>2*SIN(A186*PI()*Dashboard!$C$3)*(COS(A186*PI()*Dashboard!$C$11)-COS(A186*PI()*Dashboard!$C$12))/(A186*PI())</f>
        <v>-6.4398934930796252E-4</v>
      </c>
      <c r="F186">
        <f>SUM($E$2:E186)</f>
        <v>0.91393605546676604</v>
      </c>
      <c r="H186">
        <f>2*SIN(A186*PI()*Dashboard!$C$3)*(COS(A186*PI()*Dashboard!$C$13)-COS(A186*PI()*Dashboard!$C$14))/(A186*PI())</f>
        <v>-2.4805439328677531E-3</v>
      </c>
      <c r="I186">
        <f>SUM($H$2:H186)</f>
        <v>4.2650530052465496E-2</v>
      </c>
    </row>
    <row r="187" spans="1:9">
      <c r="A187">
        <v>186</v>
      </c>
      <c r="B187">
        <f>2*SIN(A187*PI()*Dashboard!$C$3)*(COS(A187*PI()*Dashboard!$C$9)-COS(A187*PI()*Dashboard!$C$10))/(A187*PI())</f>
        <v>1.7240243005523027E-3</v>
      </c>
      <c r="C187">
        <f>SUM($B$2:B187)</f>
        <v>4.2693594895124455E-2</v>
      </c>
      <c r="E187">
        <f>2*SIN(A187*PI()*Dashboard!$C$3)*(COS(A187*PI()*Dashboard!$C$11)-COS(A187*PI()*Dashboard!$C$12))/(A187*PI())</f>
        <v>-1.5488144273524418E-3</v>
      </c>
      <c r="F187">
        <f>SUM($E$2:E187)</f>
        <v>0.9123872410394136</v>
      </c>
      <c r="H187">
        <f>2*SIN(A187*PI()*Dashboard!$C$3)*(COS(A187*PI()*Dashboard!$C$13)-COS(A187*PI()*Dashboard!$C$14))/(A187*PI())</f>
        <v>-1.7520987319986114E-4</v>
      </c>
      <c r="I187">
        <f>SUM($H$2:H187)</f>
        <v>4.2475320179265634E-2</v>
      </c>
    </row>
    <row r="188" spans="1:9">
      <c r="A188">
        <v>187</v>
      </c>
      <c r="B188">
        <f>2*SIN(A188*PI()*Dashboard!$C$3)*(COS(A188*PI()*Dashboard!$C$9)-COS(A188*PI()*Dashboard!$C$10))/(A188*PI())</f>
        <v>5.3009556620656267E-3</v>
      </c>
      <c r="C188">
        <f>SUM($B$2:B188)</f>
        <v>4.7994550557190083E-2</v>
      </c>
      <c r="E188">
        <f>2*SIN(A188*PI()*Dashboard!$C$3)*(COS(A188*PI()*Dashboard!$C$11)-COS(A188*PI()*Dashboard!$C$12))/(A188*PI())</f>
        <v>-2.0033959405581095E-3</v>
      </c>
      <c r="F188">
        <f>SUM($E$2:E188)</f>
        <v>0.9103838450988555</v>
      </c>
      <c r="H188">
        <f>2*SIN(A188*PI()*Dashboard!$C$3)*(COS(A188*PI()*Dashboard!$C$13)-COS(A188*PI()*Dashboard!$C$14))/(A188*PI())</f>
        <v>2.5630327201873093E-3</v>
      </c>
      <c r="I188">
        <f>SUM($H$2:H188)</f>
        <v>4.5038352899452946E-2</v>
      </c>
    </row>
    <row r="189" spans="1:9">
      <c r="A189">
        <v>188</v>
      </c>
      <c r="B189">
        <f>2*SIN(A189*PI()*Dashboard!$C$3)*(COS(A189*PI()*Dashboard!$C$9)-COS(A189*PI()*Dashboard!$C$10))/(A189*PI())</f>
        <v>-1.5234319016040646E-3</v>
      </c>
      <c r="C189">
        <f>SUM($B$2:B189)</f>
        <v>4.6471118655586015E-2</v>
      </c>
      <c r="E189">
        <f>2*SIN(A189*PI()*Dashboard!$C$3)*(COS(A189*PI()*Dashboard!$C$11)-COS(A189*PI()*Dashboard!$C$12))/(A189*PI())</f>
        <v>-1.5419251932378928E-4</v>
      </c>
      <c r="F189">
        <f>SUM($E$2:E189)</f>
        <v>0.9102296525795317</v>
      </c>
      <c r="H189">
        <f>2*SIN(A189*PI()*Dashboard!$C$3)*(COS(A189*PI()*Dashboard!$C$13)-COS(A189*PI()*Dashboard!$C$14))/(A189*PI())</f>
        <v>1.6776244209278539E-3</v>
      </c>
      <c r="I189">
        <f>SUM($H$2:H189)</f>
        <v>4.6715977320380797E-2</v>
      </c>
    </row>
    <row r="190" spans="1:9">
      <c r="A190">
        <v>189</v>
      </c>
      <c r="B190">
        <f>2*SIN(A190*PI()*Dashboard!$C$3)*(COS(A190*PI()*Dashboard!$C$9)-COS(A190*PI()*Dashboard!$C$10))/(A190*PI())</f>
        <v>-2.3263300682057559E-3</v>
      </c>
      <c r="C190">
        <f>SUM($B$2:B190)</f>
        <v>4.414478858738026E-2</v>
      </c>
      <c r="E190">
        <f>2*SIN(A190*PI()*Dashboard!$C$3)*(COS(A190*PI()*Dashboard!$C$11)-COS(A190*PI()*Dashboard!$C$12))/(A190*PI())</f>
        <v>-2.2797300780663899E-3</v>
      </c>
      <c r="F190">
        <f>SUM($E$2:E190)</f>
        <v>0.90794992250146533</v>
      </c>
      <c r="H190">
        <f>2*SIN(A190*PI()*Dashboard!$C$3)*(COS(A190*PI()*Dashboard!$C$13)-COS(A190*PI()*Dashboard!$C$14))/(A190*PI())</f>
        <v>-2.1273328583832638E-3</v>
      </c>
      <c r="I190">
        <f>SUM($H$2:H190)</f>
        <v>4.4588644461997534E-2</v>
      </c>
    </row>
    <row r="191" spans="1:9">
      <c r="A191">
        <v>190</v>
      </c>
      <c r="B191">
        <f>2*SIN(A191*PI()*Dashboard!$C$3)*(COS(A191*PI()*Dashboard!$C$9)-COS(A191*PI()*Dashboard!$C$10))/(A191*PI())</f>
        <v>0</v>
      </c>
      <c r="C191">
        <f>SUM($B$2:B191)</f>
        <v>4.414478858738026E-2</v>
      </c>
      <c r="E191">
        <f>2*SIN(A191*PI()*Dashboard!$C$3)*(COS(A191*PI()*Dashboard!$C$11)-COS(A191*PI()*Dashboard!$C$12))/(A191*PI())</f>
        <v>-1.9774413434105209E-4</v>
      </c>
      <c r="F191">
        <f>SUM($E$2:E191)</f>
        <v>0.9077521783671243</v>
      </c>
      <c r="H191">
        <f>2*SIN(A191*PI()*Dashboard!$C$3)*(COS(A191*PI()*Dashboard!$C$13)-COS(A191*PI()*Dashboard!$C$14))/(A191*PI())</f>
        <v>1.9774413434105209E-4</v>
      </c>
      <c r="I191">
        <f>SUM($H$2:H191)</f>
        <v>4.4786388596338586E-2</v>
      </c>
    </row>
    <row r="192" spans="1:9">
      <c r="A192">
        <v>191</v>
      </c>
      <c r="B192">
        <f>2*SIN(A192*PI()*Dashboard!$C$3)*(COS(A192*PI()*Dashboard!$C$9)-COS(A192*PI()*Dashboard!$C$10))/(A192*PI())</f>
        <v>1.9048550894088404E-3</v>
      </c>
      <c r="C192">
        <f>SUM($B$2:B192)</f>
        <v>4.6049643676789098E-2</v>
      </c>
      <c r="E192">
        <f>2*SIN(A192*PI()*Dashboard!$C$3)*(COS(A192*PI()*Dashboard!$C$11)-COS(A192*PI()*Dashboard!$C$12))/(A192*PI())</f>
        <v>-1.2722215602310196E-3</v>
      </c>
      <c r="F192">
        <f>SUM($E$2:E192)</f>
        <v>0.90647995680689331</v>
      </c>
      <c r="H192">
        <f>2*SIN(A192*PI()*Dashboard!$C$3)*(COS(A192*PI()*Dashboard!$C$13)-COS(A192*PI()*Dashboard!$C$14))/(A192*PI())</f>
        <v>4.8808308365218284E-3</v>
      </c>
      <c r="I192">
        <f>SUM($H$2:H192)</f>
        <v>4.9667219432860413E-2</v>
      </c>
    </row>
    <row r="193" spans="1:9">
      <c r="A193">
        <v>192</v>
      </c>
      <c r="B193">
        <f>2*SIN(A193*PI()*Dashboard!$C$3)*(COS(A193*PI()*Dashboard!$C$9)-COS(A193*PI()*Dashboard!$C$10))/(A193*PI())</f>
        <v>4.6216989022657244E-3</v>
      </c>
      <c r="C193">
        <f>SUM($B$2:B193)</f>
        <v>5.0671342579054826E-2</v>
      </c>
      <c r="E193">
        <f>2*SIN(A193*PI()*Dashboard!$C$3)*(COS(A193*PI()*Dashboard!$C$11)-COS(A193*PI()*Dashboard!$C$12))/(A193*PI())</f>
        <v>-9.7910040419229628E-4</v>
      </c>
      <c r="F193">
        <f>SUM($E$2:E193)</f>
        <v>0.90550085640270106</v>
      </c>
      <c r="H193">
        <f>2*SIN(A193*PI()*Dashboard!$C$3)*(COS(A193*PI()*Dashboard!$C$13)-COS(A193*PI()*Dashboard!$C$14))/(A193*PI())</f>
        <v>-3.6425984980734275E-3</v>
      </c>
      <c r="I193">
        <f>SUM($H$2:H193)</f>
        <v>4.6024620934786986E-2</v>
      </c>
    </row>
    <row r="194" spans="1:9">
      <c r="A194">
        <v>193</v>
      </c>
      <c r="B194">
        <f>2*SIN(A194*PI()*Dashboard!$C$3)*(COS(A194*PI()*Dashboard!$C$9)-COS(A194*PI()*Dashboard!$C$10))/(A194*PI())</f>
        <v>-2.369832881039874E-3</v>
      </c>
      <c r="C194">
        <f>SUM($B$2:B194)</f>
        <v>4.8301509698014951E-2</v>
      </c>
      <c r="E194">
        <f>2*SIN(A194*PI()*Dashboard!$C$3)*(COS(A194*PI()*Dashboard!$C$11)-COS(A194*PI()*Dashboard!$C$12))/(A194*PI())</f>
        <v>-2.2698601068429439E-4</v>
      </c>
      <c r="F194">
        <f>SUM($E$2:E194)</f>
        <v>0.90527387039201679</v>
      </c>
      <c r="H194">
        <f>2*SIN(A194*PI()*Dashboard!$C$3)*(COS(A194*PI()*Dashboard!$C$13)-COS(A194*PI()*Dashboard!$C$14))/(A194*PI())</f>
        <v>-2.3203903427821052E-5</v>
      </c>
      <c r="I194">
        <f>SUM($H$2:H194)</f>
        <v>4.6001417031359168E-2</v>
      </c>
    </row>
    <row r="195" spans="1:9">
      <c r="A195">
        <v>194</v>
      </c>
      <c r="B195">
        <f>2*SIN(A195*PI()*Dashboard!$C$3)*(COS(A195*PI()*Dashboard!$C$9)-COS(A195*PI()*Dashboard!$C$10))/(A195*PI())</f>
        <v>-2.2496121265832072E-3</v>
      </c>
      <c r="C195">
        <f>SUM($B$2:B195)</f>
        <v>4.6051897571431744E-2</v>
      </c>
      <c r="E195">
        <f>2*SIN(A195*PI()*Dashboard!$C$3)*(COS(A195*PI()*Dashboard!$C$11)-COS(A195*PI()*Dashboard!$C$12))/(A195*PI())</f>
        <v>-1.2104822914958066E-3</v>
      </c>
      <c r="F195">
        <f>SUM($E$2:E195)</f>
        <v>0.904063388100521</v>
      </c>
      <c r="H195">
        <f>2*SIN(A195*PI()*Dashboard!$C$3)*(COS(A195*PI()*Dashboard!$C$13)-COS(A195*PI()*Dashboard!$C$14))/(A195*PI())</f>
        <v>3.460094418079014E-3</v>
      </c>
      <c r="I195">
        <f>SUM($H$2:H195)</f>
        <v>4.9461511449438181E-2</v>
      </c>
    </row>
    <row r="196" spans="1:9">
      <c r="A196">
        <v>195</v>
      </c>
      <c r="B196">
        <f>2*SIN(A196*PI()*Dashboard!$C$3)*(COS(A196*PI()*Dashboard!$C$9)-COS(A196*PI()*Dashboard!$C$10))/(A196*PI())</f>
        <v>0</v>
      </c>
      <c r="C196">
        <f>SUM($B$2:B196)</f>
        <v>4.6051897571431744E-2</v>
      </c>
      <c r="E196">
        <f>2*SIN(A196*PI()*Dashboard!$C$3)*(COS(A196*PI()*Dashboard!$C$11)-COS(A196*PI()*Dashboard!$C$12))/(A196*PI())</f>
        <v>-2.4996133261119912E-5</v>
      </c>
      <c r="F196">
        <f>SUM($E$2:E196)</f>
        <v>0.90403839196725988</v>
      </c>
      <c r="H196">
        <f>2*SIN(A196*PI()*Dashboard!$C$3)*(COS(A196*PI()*Dashboard!$C$13)-COS(A196*PI()*Dashboard!$C$14))/(A196*PI())</f>
        <v>-9.9643231314273939E-4</v>
      </c>
      <c r="I196">
        <f>SUM($H$2:H196)</f>
        <v>4.8465079136295441E-2</v>
      </c>
    </row>
    <row r="197" spans="1:9">
      <c r="A197">
        <v>196</v>
      </c>
      <c r="B197">
        <f>2*SIN(A197*PI()*Dashboard!$C$3)*(COS(A197*PI()*Dashboard!$C$9)-COS(A197*PI()*Dashboard!$C$10))/(A197*PI())</f>
        <v>2.0307524903480359E-3</v>
      </c>
      <c r="C197">
        <f>SUM($B$2:B197)</f>
        <v>4.808265006177978E-2</v>
      </c>
      <c r="E197">
        <f>2*SIN(A197*PI()*Dashboard!$C$3)*(COS(A197*PI()*Dashboard!$C$11)-COS(A197*PI()*Dashboard!$C$12))/(A197*PI())</f>
        <v>-6.6657871997210984E-4</v>
      </c>
      <c r="F197">
        <f>SUM($E$2:E197)</f>
        <v>0.90337181324728777</v>
      </c>
      <c r="H197">
        <f>2*SIN(A197*PI()*Dashboard!$C$3)*(COS(A197*PI()*Dashboard!$C$13)-COS(A197*PI()*Dashboard!$C$14))/(A197*PI())</f>
        <v>-1.3641737703759262E-3</v>
      </c>
      <c r="I197">
        <f>SUM($H$2:H197)</f>
        <v>4.7100905365919515E-2</v>
      </c>
    </row>
    <row r="198" spans="1:9">
      <c r="A198">
        <v>197</v>
      </c>
      <c r="B198">
        <f>2*SIN(A198*PI()*Dashboard!$C$3)*(COS(A198*PI()*Dashboard!$C$9)-COS(A198*PI()*Dashboard!$C$10))/(A198*PI())</f>
        <v>3.8660089801283632E-3</v>
      </c>
      <c r="C198">
        <f>SUM($B$2:B198)</f>
        <v>5.1948659041908145E-2</v>
      </c>
      <c r="E198">
        <f>2*SIN(A198*PI()*Dashboard!$C$3)*(COS(A198*PI()*Dashboard!$C$11)-COS(A198*PI()*Dashboard!$C$12))/(A198*PI())</f>
        <v>-2.6600176116925141E-4</v>
      </c>
      <c r="F198">
        <f>SUM($E$2:E198)</f>
        <v>0.90310581148611857</v>
      </c>
      <c r="H198">
        <f>2*SIN(A198*PI()*Dashboard!$C$3)*(COS(A198*PI()*Dashboard!$C$13)-COS(A198*PI()*Dashboard!$C$14))/(A198*PI())</f>
        <v>6.7414718882103557E-4</v>
      </c>
      <c r="I198">
        <f>SUM($H$2:H198)</f>
        <v>4.7775052554740551E-2</v>
      </c>
    </row>
    <row r="199" spans="1:9">
      <c r="A199">
        <v>198</v>
      </c>
      <c r="B199">
        <f>2*SIN(A199*PI()*Dashboard!$C$3)*(COS(A199*PI()*Dashboard!$C$9)-COS(A199*PI()*Dashboard!$C$10))/(A199*PI())</f>
        <v>-3.1166067501143917E-3</v>
      </c>
      <c r="C199">
        <f>SUM($B$2:B199)</f>
        <v>4.8832052291793757E-2</v>
      </c>
      <c r="E199">
        <f>2*SIN(A199*PI()*Dashboard!$C$3)*(COS(A199*PI()*Dashboard!$C$11)-COS(A199*PI()*Dashboard!$C$12))/(A199*PI())</f>
        <v>-1.1592787089391626E-4</v>
      </c>
      <c r="F199">
        <f>SUM($E$2:E199)</f>
        <v>0.9029898836152247</v>
      </c>
      <c r="H199">
        <f>2*SIN(A199*PI()*Dashboard!$C$3)*(COS(A199*PI()*Dashboard!$C$13)-COS(A199*PI()*Dashboard!$C$14))/(A199*PI())</f>
        <v>3.2325346210083077E-3</v>
      </c>
      <c r="I199">
        <f>SUM($H$2:H199)</f>
        <v>5.100758717574886E-2</v>
      </c>
    </row>
    <row r="200" spans="1:9">
      <c r="A200">
        <v>199</v>
      </c>
      <c r="B200">
        <f>2*SIN(A200*PI()*Dashboard!$C$3)*(COS(A200*PI()*Dashboard!$C$9)-COS(A200*PI()*Dashboard!$C$10))/(A200*PI())</f>
        <v>-2.1227482231390769E-3</v>
      </c>
      <c r="C200">
        <f>SUM($B$2:B200)</f>
        <v>4.6709304068654679E-2</v>
      </c>
      <c r="E200">
        <f>2*SIN(A200*PI()*Dashboard!$C$3)*(COS(A200*PI()*Dashboard!$C$11)-COS(A200*PI()*Dashboard!$C$12))/(A200*PI())</f>
        <v>-1.8532910157670511E-4</v>
      </c>
      <c r="F200">
        <f>SUM($E$2:E200)</f>
        <v>0.90280455451364794</v>
      </c>
      <c r="H200">
        <f>2*SIN(A200*PI()*Dashboard!$C$3)*(COS(A200*PI()*Dashboard!$C$13)-COS(A200*PI()*Dashboard!$C$14))/(A200*PI())</f>
        <v>-3.836062851984577E-3</v>
      </c>
      <c r="I200">
        <f>SUM($H$2:H200)</f>
        <v>4.7171524323764286E-2</v>
      </c>
    </row>
    <row r="201" spans="1:9">
      <c r="A201">
        <v>200</v>
      </c>
      <c r="B201">
        <f>2*SIN(A201*PI()*Dashboard!$C$3)*(COS(A201*PI()*Dashboard!$C$9)-COS(A201*PI()*Dashboard!$C$10))/(A201*PI())</f>
        <v>0</v>
      </c>
      <c r="C201">
        <f>SUM($B$2:B201)</f>
        <v>4.6709304068654679E-2</v>
      </c>
      <c r="E201">
        <f>2*SIN(A201*PI()*Dashboard!$C$3)*(COS(A201*PI()*Dashboard!$C$11)-COS(A201*PI()*Dashboard!$C$12))/(A201*PI())</f>
        <v>0</v>
      </c>
      <c r="F201">
        <f>SUM($E$2:E201)</f>
        <v>0.90280455451364794</v>
      </c>
      <c r="H201">
        <f>2*SIN(A201*PI()*Dashboard!$C$3)*(COS(A201*PI()*Dashboard!$C$13)-COS(A201*PI()*Dashboard!$C$14))/(A201*PI())</f>
        <v>0</v>
      </c>
      <c r="I201">
        <f>SUM($H$2:H201)</f>
        <v>4.7171524323764286E-2</v>
      </c>
    </row>
    <row r="202" spans="1:9">
      <c r="A202">
        <v>201</v>
      </c>
      <c r="B202">
        <f>2*SIN(A202*PI()*Dashboard!$C$3)*(COS(A202*PI()*Dashboard!$C$9)-COS(A202*PI()*Dashboard!$C$10))/(A202*PI())</f>
        <v>2.1016263502718446E-3</v>
      </c>
      <c r="C202">
        <f>SUM($B$2:B202)</f>
        <v>4.8810930418926521E-2</v>
      </c>
      <c r="E202">
        <f>2*SIN(A202*PI()*Dashboard!$C$3)*(COS(A202*PI()*Dashboard!$C$11)-COS(A202*PI()*Dashboard!$C$12))/(A202*PI())</f>
        <v>1.8348503091440889E-4</v>
      </c>
      <c r="F202">
        <f>SUM($E$2:E202)</f>
        <v>0.9029880395445623</v>
      </c>
      <c r="H202">
        <f>2*SIN(A202*PI()*Dashboard!$C$3)*(COS(A202*PI()*Dashboard!$C$13)-COS(A202*PI()*Dashboard!$C$14))/(A202*PI())</f>
        <v>3.7978930723627478E-3</v>
      </c>
      <c r="I202">
        <f>SUM($H$2:H202)</f>
        <v>5.0969417396127037E-2</v>
      </c>
    </row>
    <row r="203" spans="1:9">
      <c r="A203">
        <v>202</v>
      </c>
      <c r="B203">
        <f>2*SIN(A203*PI()*Dashboard!$C$3)*(COS(A203*PI()*Dashboard!$C$9)-COS(A203*PI()*Dashboard!$C$10))/(A203*PI())</f>
        <v>3.0548917649637296E-3</v>
      </c>
      <c r="C203">
        <f>SUM($B$2:B203)</f>
        <v>5.1865822183890249E-2</v>
      </c>
      <c r="E203">
        <f>2*SIN(A203*PI()*Dashboard!$C$3)*(COS(A203*PI()*Dashboard!$C$11)-COS(A203*PI()*Dashboard!$C$12))/(A203*PI())</f>
        <v>1.1363226949009018E-4</v>
      </c>
      <c r="F203">
        <f>SUM($E$2:E203)</f>
        <v>0.90310167181405243</v>
      </c>
      <c r="H203">
        <f>2*SIN(A203*PI()*Dashboard!$C$3)*(COS(A203*PI()*Dashboard!$C$13)-COS(A203*PI()*Dashboard!$C$14))/(A203*PI())</f>
        <v>-3.1685240344538198E-3</v>
      </c>
      <c r="I203">
        <f>SUM($H$2:H203)</f>
        <v>4.7800893361673216E-2</v>
      </c>
    </row>
    <row r="204" spans="1:9">
      <c r="A204">
        <v>203</v>
      </c>
      <c r="B204">
        <f>2*SIN(A204*PI()*Dashboard!$C$3)*(COS(A204*PI()*Dashboard!$C$9)-COS(A204*PI()*Dashboard!$C$10))/(A204*PI())</f>
        <v>-3.7517427048533729E-3</v>
      </c>
      <c r="C204">
        <f>SUM($B$2:B204)</f>
        <v>4.8114079479036877E-2</v>
      </c>
      <c r="E204">
        <f>2*SIN(A204*PI()*Dashboard!$C$3)*(COS(A204*PI()*Dashboard!$C$11)-COS(A204*PI()*Dashboard!$C$12))/(A204*PI())</f>
        <v>2.5813964014949797E-4</v>
      </c>
      <c r="F204">
        <f>SUM($E$2:E204)</f>
        <v>0.90335981145420197</v>
      </c>
      <c r="H204">
        <f>2*SIN(A204*PI()*Dashboard!$C$3)*(COS(A204*PI()*Dashboard!$C$13)-COS(A204*PI()*Dashboard!$C$14))/(A204*PI())</f>
        <v>-6.5422165614638069E-4</v>
      </c>
      <c r="I204">
        <f>SUM($H$2:H204)</f>
        <v>4.7146671705526833E-2</v>
      </c>
    </row>
    <row r="205" spans="1:9">
      <c r="A205">
        <v>204</v>
      </c>
      <c r="B205">
        <f>2*SIN(A205*PI()*Dashboard!$C$3)*(COS(A205*PI()*Dashboard!$C$9)-COS(A205*PI()*Dashboard!$C$10))/(A205*PI())</f>
        <v>-1.951115137785657E-3</v>
      </c>
      <c r="C205">
        <f>SUM($B$2:B205)</f>
        <v>4.6162964341251222E-2</v>
      </c>
      <c r="E205">
        <f>2*SIN(A205*PI()*Dashboard!$C$3)*(COS(A205*PI()*Dashboard!$C$11)-COS(A205*PI()*Dashboard!$C$12))/(A205*PI())</f>
        <v>6.4043837801253502E-4</v>
      </c>
      <c r="F205">
        <f>SUM($E$2:E205)</f>
        <v>0.9040002498322145</v>
      </c>
      <c r="H205">
        <f>2*SIN(A205*PI()*Dashboard!$C$3)*(COS(A205*PI()*Dashboard!$C$13)-COS(A205*PI()*Dashboard!$C$14))/(A205*PI())</f>
        <v>1.3106767597731218E-3</v>
      </c>
      <c r="I205">
        <f>SUM($H$2:H205)</f>
        <v>4.8457348465299956E-2</v>
      </c>
    </row>
    <row r="206" spans="1:9">
      <c r="A206">
        <v>205</v>
      </c>
      <c r="B206">
        <f>2*SIN(A206*PI()*Dashboard!$C$3)*(COS(A206*PI()*Dashboard!$C$9)-COS(A206*PI()*Dashboard!$C$10))/(A206*PI())</f>
        <v>0</v>
      </c>
      <c r="C206">
        <f>SUM($B$2:B206)</f>
        <v>4.6162964341251222E-2</v>
      </c>
      <c r="E206">
        <f>2*SIN(A206*PI()*Dashboard!$C$3)*(COS(A206*PI()*Dashboard!$C$11)-COS(A206*PI()*Dashboard!$C$12))/(A206*PI())</f>
        <v>2.3776809687385726E-5</v>
      </c>
      <c r="F206">
        <f>SUM($E$2:E206)</f>
        <v>0.90402402664190185</v>
      </c>
      <c r="H206">
        <f>2*SIN(A206*PI()*Dashboard!$C$3)*(COS(A206*PI()*Dashboard!$C$13)-COS(A206*PI()*Dashboard!$C$14))/(A206*PI())</f>
        <v>9.4782585884255535E-4</v>
      </c>
      <c r="I206">
        <f>SUM($H$2:H206)</f>
        <v>4.9405174324142508E-2</v>
      </c>
    </row>
    <row r="207" spans="1:9">
      <c r="A207">
        <v>206</v>
      </c>
      <c r="B207">
        <f>2*SIN(A207*PI()*Dashboard!$C$3)*(COS(A207*PI()*Dashboard!$C$9)-COS(A207*PI()*Dashboard!$C$10))/(A207*PI())</f>
        <v>2.1185667599858803E-3</v>
      </c>
      <c r="C207">
        <f>SUM($B$2:B207)</f>
        <v>4.8281531101237105E-2</v>
      </c>
      <c r="E207">
        <f>2*SIN(A207*PI()*Dashboard!$C$3)*(COS(A207*PI()*Dashboard!$C$11)-COS(A207*PI()*Dashboard!$C$12))/(A207*PI())</f>
        <v>1.1399687599523347E-3</v>
      </c>
      <c r="F207">
        <f>SUM($E$2:E207)</f>
        <v>0.90516399540185422</v>
      </c>
      <c r="H207">
        <f>2*SIN(A207*PI()*Dashboard!$C$3)*(COS(A207*PI()*Dashboard!$C$13)-COS(A207*PI()*Dashboard!$C$14))/(A207*PI())</f>
        <v>-3.2585355199382152E-3</v>
      </c>
      <c r="I207">
        <f>SUM($H$2:H207)</f>
        <v>4.614663880420429E-2</v>
      </c>
    </row>
    <row r="208" spans="1:9">
      <c r="A208">
        <v>207</v>
      </c>
      <c r="B208">
        <f>2*SIN(A208*PI()*Dashboard!$C$3)*(COS(A208*PI()*Dashboard!$C$9)-COS(A208*PI()*Dashboard!$C$10))/(A208*PI())</f>
        <v>2.2095543286994026E-3</v>
      </c>
      <c r="C208">
        <f>SUM($B$2:B208)</f>
        <v>5.0491085429936508E-2</v>
      </c>
      <c r="E208">
        <f>2*SIN(A208*PI()*Dashboard!$C$3)*(COS(A208*PI()*Dashboard!$C$11)-COS(A208*PI()*Dashboard!$C$12))/(A208*PI())</f>
        <v>2.1163429981685988E-4</v>
      </c>
      <c r="F208">
        <f>SUM($E$2:E208)</f>
        <v>0.90537562970167107</v>
      </c>
      <c r="H208">
        <f>2*SIN(A208*PI()*Dashboard!$C$3)*(COS(A208*PI()*Dashboard!$C$13)-COS(A208*PI()*Dashboard!$C$14))/(A208*PI())</f>
        <v>2.1634557302290118E-5</v>
      </c>
      <c r="I208">
        <f>SUM($H$2:H208)</f>
        <v>4.6168273361506577E-2</v>
      </c>
    </row>
    <row r="209" spans="1:9">
      <c r="A209">
        <v>208</v>
      </c>
      <c r="B209">
        <f>2*SIN(A209*PI()*Dashboard!$C$3)*(COS(A209*PI()*Dashboard!$C$9)-COS(A209*PI()*Dashboard!$C$10))/(A209*PI())</f>
        <v>-4.2661836020913826E-3</v>
      </c>
      <c r="C209">
        <f>SUM($B$2:B209)</f>
        <v>4.6224901827845125E-2</v>
      </c>
      <c r="E209">
        <f>2*SIN(A209*PI()*Dashboard!$C$3)*(COS(A209*PI()*Dashboard!$C$11)-COS(A209*PI()*Dashboard!$C$12))/(A209*PI())</f>
        <v>9.0378498848525419E-4</v>
      </c>
      <c r="F209">
        <f>SUM($E$2:E209)</f>
        <v>0.90627941469015627</v>
      </c>
      <c r="H209">
        <f>2*SIN(A209*PI()*Dashboard!$C$3)*(COS(A209*PI()*Dashboard!$C$13)-COS(A209*PI()*Dashboard!$C$14))/(A209*PI())</f>
        <v>3.3623986136061285E-3</v>
      </c>
      <c r="I209">
        <f>SUM($H$2:H209)</f>
        <v>4.9530671975112704E-2</v>
      </c>
    </row>
    <row r="210" spans="1:9">
      <c r="A210">
        <v>209</v>
      </c>
      <c r="B210">
        <f>2*SIN(A210*PI()*Dashboard!$C$3)*(COS(A210*PI()*Dashboard!$C$9)-COS(A210*PI()*Dashboard!$C$10))/(A210*PI())</f>
        <v>-1.7408005841009896E-3</v>
      </c>
      <c r="C210">
        <f>SUM($B$2:B210)</f>
        <v>4.4484101243744134E-2</v>
      </c>
      <c r="E210">
        <f>2*SIN(A210*PI()*Dashboard!$C$3)*(COS(A210*PI()*Dashboard!$C$11)-COS(A210*PI()*Dashboard!$C$12))/(A210*PI())</f>
        <v>1.1626522392542719E-3</v>
      </c>
      <c r="F210">
        <f>SUM($E$2:E210)</f>
        <v>0.90744206692941054</v>
      </c>
      <c r="H210">
        <f>2*SIN(A210*PI()*Dashboard!$C$3)*(COS(A210*PI()*Dashboard!$C$13)-COS(A210*PI()*Dashboard!$C$14))/(A210*PI())</f>
        <v>-4.4604721998837008E-3</v>
      </c>
      <c r="I210">
        <f>SUM($H$2:H210)</f>
        <v>4.5070199775229004E-2</v>
      </c>
    </row>
    <row r="211" spans="1:9">
      <c r="A211">
        <v>210</v>
      </c>
      <c r="B211">
        <f>2*SIN(A211*PI()*Dashboard!$C$3)*(COS(A211*PI()*Dashboard!$C$9)-COS(A211*PI()*Dashboard!$C$10))/(A211*PI())</f>
        <v>0</v>
      </c>
      <c r="C211">
        <f>SUM($B$2:B211)</f>
        <v>4.4484101243744134E-2</v>
      </c>
      <c r="E211">
        <f>2*SIN(A211*PI()*Dashboard!$C$3)*(COS(A211*PI()*Dashboard!$C$11)-COS(A211*PI()*Dashboard!$C$12))/(A211*PI())</f>
        <v>1.78911359641874E-4</v>
      </c>
      <c r="F211">
        <f>SUM($E$2:E211)</f>
        <v>0.90762097828905242</v>
      </c>
      <c r="H211">
        <f>2*SIN(A211*PI()*Dashboard!$C$3)*(COS(A211*PI()*Dashboard!$C$13)-COS(A211*PI()*Dashboard!$C$14))/(A211*PI())</f>
        <v>-1.78911359641874E-4</v>
      </c>
      <c r="I211">
        <f>SUM($H$2:H211)</f>
        <v>4.4891288415587129E-2</v>
      </c>
    </row>
    <row r="212" spans="1:9">
      <c r="A212">
        <v>211</v>
      </c>
      <c r="B212">
        <f>2*SIN(A212*PI()*Dashboard!$C$3)*(COS(A212*PI()*Dashboard!$C$9)-COS(A212*PI()*Dashboard!$C$10))/(A212*PI())</f>
        <v>2.0837743264969641E-3</v>
      </c>
      <c r="C212">
        <f>SUM($B$2:B212)</f>
        <v>4.6567875570241099E-2</v>
      </c>
      <c r="E212">
        <f>2*SIN(A212*PI()*Dashboard!$C$3)*(COS(A212*PI()*Dashboard!$C$11)-COS(A212*PI()*Dashboard!$C$12))/(A212*PI())</f>
        <v>2.0420331031022038E-3</v>
      </c>
      <c r="F212">
        <f>SUM($E$2:E212)</f>
        <v>0.90966301139215466</v>
      </c>
      <c r="H212">
        <f>2*SIN(A212*PI()*Dashboard!$C$3)*(COS(A212*PI()*Dashboard!$C$13)-COS(A212*PI()*Dashboard!$C$14))/(A212*PI())</f>
        <v>1.9055256409215614E-3</v>
      </c>
      <c r="I212">
        <f>SUM($H$2:H212)</f>
        <v>4.6796814056508693E-2</v>
      </c>
    </row>
    <row r="213" spans="1:9">
      <c r="A213">
        <v>212</v>
      </c>
      <c r="B213">
        <f>2*SIN(A213*PI()*Dashboard!$C$3)*(COS(A213*PI()*Dashboard!$C$9)-COS(A213*PI()*Dashboard!$C$10))/(A213*PI())</f>
        <v>1.3509679127433865E-3</v>
      </c>
      <c r="C213">
        <f>SUM($B$2:B213)</f>
        <v>4.7918843482984488E-2</v>
      </c>
      <c r="E213">
        <f>2*SIN(A213*PI()*Dashboard!$C$3)*(COS(A213*PI()*Dashboard!$C$11)-COS(A213*PI()*Dashboard!$C$12))/(A213*PI())</f>
        <v>1.3673676241925342E-4</v>
      </c>
      <c r="F213">
        <f>SUM($E$2:E213)</f>
        <v>0.90979974815457387</v>
      </c>
      <c r="H213">
        <f>2*SIN(A213*PI()*Dashboard!$C$3)*(COS(A213*PI()*Dashboard!$C$13)-COS(A213*PI()*Dashboard!$C$14))/(A213*PI())</f>
        <v>-1.4877046751626398E-3</v>
      </c>
      <c r="I213">
        <f>SUM($H$2:H213)</f>
        <v>4.5309109381346052E-2</v>
      </c>
    </row>
    <row r="214" spans="1:9">
      <c r="A214">
        <v>213</v>
      </c>
      <c r="B214">
        <f>2*SIN(A214*PI()*Dashboard!$C$3)*(COS(A214*PI()*Dashboard!$C$9)-COS(A214*PI()*Dashboard!$C$10))/(A214*PI())</f>
        <v>-4.6538906516725405E-3</v>
      </c>
      <c r="C214">
        <f>SUM($B$2:B214)</f>
        <v>4.3264952831311945E-2</v>
      </c>
      <c r="E214">
        <f>2*SIN(A214*PI()*Dashboard!$C$3)*(COS(A214*PI()*Dashboard!$C$11)-COS(A214*PI()*Dashboard!$C$12))/(A214*PI())</f>
        <v>1.7588499572036261E-3</v>
      </c>
      <c r="F214">
        <f>SUM($E$2:E214)</f>
        <v>0.91155859811177753</v>
      </c>
      <c r="H214">
        <f>2*SIN(A214*PI()*Dashboard!$C$3)*(COS(A214*PI()*Dashboard!$C$13)-COS(A214*PI()*Dashboard!$C$14))/(A214*PI())</f>
        <v>-2.2501742660798753E-3</v>
      </c>
      <c r="I214">
        <f>SUM($H$2:H214)</f>
        <v>4.3058935115266178E-2</v>
      </c>
    </row>
    <row r="215" spans="1:9">
      <c r="A215">
        <v>214</v>
      </c>
      <c r="B215">
        <f>2*SIN(A215*PI()*Dashboard!$C$3)*(COS(A215*PI()*Dashboard!$C$9)-COS(A215*PI()*Dashboard!$C$10))/(A215*PI())</f>
        <v>-1.4984510275831283E-3</v>
      </c>
      <c r="C215">
        <f>SUM($B$2:B215)</f>
        <v>4.1766501803728817E-2</v>
      </c>
      <c r="E215">
        <f>2*SIN(A215*PI()*Dashboard!$C$3)*(COS(A215*PI()*Dashboard!$C$11)-COS(A215*PI()*Dashboard!$C$12))/(A215*PI())</f>
        <v>1.3461658106897394E-3</v>
      </c>
      <c r="F215">
        <f>SUM($E$2:E215)</f>
        <v>0.91290476392246722</v>
      </c>
      <c r="H215">
        <f>2*SIN(A215*PI()*Dashboard!$C$3)*(COS(A215*PI()*Dashboard!$C$13)-COS(A215*PI()*Dashboard!$C$14))/(A215*PI())</f>
        <v>1.5228521689338929E-4</v>
      </c>
      <c r="I215">
        <f>SUM($H$2:H215)</f>
        <v>4.3211220332159565E-2</v>
      </c>
    </row>
    <row r="216" spans="1:9">
      <c r="A216">
        <v>215</v>
      </c>
      <c r="B216">
        <f>2*SIN(A216*PI()*Dashboard!$C$3)*(COS(A216*PI()*Dashboard!$C$9)-COS(A216*PI()*Dashboard!$C$10))/(A216*PI())</f>
        <v>0</v>
      </c>
      <c r="C216">
        <f>SUM($B$2:B216)</f>
        <v>4.1766501803728817E-2</v>
      </c>
      <c r="E216">
        <f>2*SIN(A216*PI()*Dashboard!$C$3)*(COS(A216*PI()*Dashboard!$C$11)-COS(A216*PI()*Dashboard!$C$12))/(A216*PI())</f>
        <v>5.5413037033457497E-4</v>
      </c>
      <c r="F216">
        <f>SUM($E$2:E216)</f>
        <v>0.9134588942928018</v>
      </c>
      <c r="H216">
        <f>2*SIN(A216*PI()*Dashboard!$C$3)*(COS(A216*PI()*Dashboard!$C$13)-COS(A216*PI()*Dashboard!$C$14))/(A216*PI())</f>
        <v>2.1344215236300946E-3</v>
      </c>
      <c r="I216">
        <f>SUM($H$2:H216)</f>
        <v>4.534564185578966E-2</v>
      </c>
    </row>
    <row r="217" spans="1:9">
      <c r="A217">
        <v>216</v>
      </c>
      <c r="B217">
        <f>2*SIN(A217*PI()*Dashboard!$C$3)*(COS(A217*PI()*Dashboard!$C$9)-COS(A217*PI()*Dashboard!$C$10))/(A217*PI())</f>
        <v>2.0004709327574081E-3</v>
      </c>
      <c r="C217">
        <f>SUM($B$2:B217)</f>
        <v>4.3766972736486227E-2</v>
      </c>
      <c r="E217">
        <f>2*SIN(A217*PI()*Dashboard!$C$3)*(COS(A217*PI()*Dashboard!$C$11)-COS(A217*PI()*Dashboard!$C$12))/(A217*PI())</f>
        <v>2.7400495567864061E-3</v>
      </c>
      <c r="F217">
        <f>SUM($E$2:E217)</f>
        <v>0.91619894384958822</v>
      </c>
      <c r="H217">
        <f>2*SIN(A217*PI()*Dashboard!$C$3)*(COS(A217*PI()*Dashboard!$C$13)-COS(A217*PI()*Dashboard!$C$14))/(A217*PI())</f>
        <v>-4.740520489543815E-3</v>
      </c>
      <c r="I217">
        <f>SUM($H$2:H217)</f>
        <v>4.0605121366245847E-2</v>
      </c>
    </row>
    <row r="218" spans="1:9">
      <c r="A218">
        <v>217</v>
      </c>
      <c r="B218">
        <f>2*SIN(A218*PI()*Dashboard!$C$3)*(COS(A218*PI()*Dashboard!$C$9)-COS(A218*PI()*Dashboard!$C$10))/(A218*PI())</f>
        <v>4.9944885933471048E-4</v>
      </c>
      <c r="C218">
        <f>SUM($B$2:B218)</f>
        <v>4.4266421595820934E-2</v>
      </c>
      <c r="E218">
        <f>2*SIN(A218*PI()*Dashboard!$C$3)*(COS(A218*PI()*Dashboard!$C$11)-COS(A218*PI()*Dashboard!$C$12))/(A218*PI())</f>
        <v>2.645205897744223E-5</v>
      </c>
      <c r="F218">
        <f>SUM($E$2:E218)</f>
        <v>0.91622539590856567</v>
      </c>
      <c r="H218">
        <f>2*SIN(A218*PI()*Dashboard!$C$3)*(COS(A218*PI()*Dashboard!$C$13)-COS(A218*PI()*Dashboard!$C$14))/(A218*PI())</f>
        <v>2.6276160054421879E-5</v>
      </c>
      <c r="I218">
        <f>SUM($H$2:H218)</f>
        <v>4.0631397526300267E-2</v>
      </c>
    </row>
    <row r="219" spans="1:9">
      <c r="A219">
        <v>218</v>
      </c>
      <c r="B219">
        <f>2*SIN(A219*PI()*Dashboard!$C$3)*(COS(A219*PI()*Dashboard!$C$9)-COS(A219*PI()*Dashboard!$C$10))/(A219*PI())</f>
        <v>-4.9118470490884213E-3</v>
      </c>
      <c r="C219">
        <f>SUM($B$2:B219)</f>
        <v>3.935457454673251E-2</v>
      </c>
      <c r="E219">
        <f>2*SIN(A219*PI()*Dashboard!$C$3)*(COS(A219*PI()*Dashboard!$C$11)-COS(A219*PI()*Dashboard!$C$12))/(A219*PI())</f>
        <v>2.7054229500348519E-3</v>
      </c>
      <c r="F219">
        <f>SUM($E$2:E219)</f>
        <v>0.91893081885860051</v>
      </c>
      <c r="H219">
        <f>2*SIN(A219*PI()*Dashboard!$C$3)*(COS(A219*PI()*Dashboard!$C$13)-COS(A219*PI()*Dashboard!$C$14))/(A219*PI())</f>
        <v>2.2064240990535694E-3</v>
      </c>
      <c r="I219">
        <f>SUM($H$2:H219)</f>
        <v>4.2837821625353836E-2</v>
      </c>
    </row>
    <row r="220" spans="1:9">
      <c r="A220">
        <v>219</v>
      </c>
      <c r="B220">
        <f>2*SIN(A220*PI()*Dashboard!$C$3)*(COS(A220*PI()*Dashboard!$C$9)-COS(A220*PI()*Dashboard!$C$10))/(A220*PI())</f>
        <v>-1.2311132170348055E-3</v>
      </c>
      <c r="C220">
        <f>SUM($B$2:B220)</f>
        <v>3.8123461329697704E-2</v>
      </c>
      <c r="E220">
        <f>2*SIN(A220*PI()*Dashboard!$C$3)*(COS(A220*PI()*Dashboard!$C$11)-COS(A220*PI()*Dashboard!$C$12))/(A220*PI())</f>
        <v>1.2275974710714782E-3</v>
      </c>
      <c r="F220">
        <f>SUM($E$2:E220)</f>
        <v>0.92015841632967199</v>
      </c>
      <c r="H220">
        <f>2*SIN(A220*PI()*Dashboard!$C$3)*(COS(A220*PI()*Dashboard!$C$13)-COS(A220*PI()*Dashboard!$C$14))/(A220*PI())</f>
        <v>-3.5598518246216463E-3</v>
      </c>
      <c r="I220">
        <f>SUM($H$2:H220)</f>
        <v>3.9277969800732192E-2</v>
      </c>
    </row>
    <row r="221" spans="1:9">
      <c r="A221">
        <v>220</v>
      </c>
      <c r="B221">
        <f>2*SIN(A221*PI()*Dashboard!$C$3)*(COS(A221*PI()*Dashboard!$C$9)-COS(A221*PI()*Dashboard!$C$10))/(A221*PI())</f>
        <v>0</v>
      </c>
      <c r="C221">
        <f>SUM($B$2:B221)</f>
        <v>3.8123461329697704E-2</v>
      </c>
      <c r="E221">
        <f>2*SIN(A221*PI()*Dashboard!$C$3)*(COS(A221*PI()*Dashboard!$C$11)-COS(A221*PI()*Dashboard!$C$12))/(A221*PI())</f>
        <v>1.1752858128041082E-3</v>
      </c>
      <c r="F221">
        <f>SUM($E$2:E221)</f>
        <v>0.92133370214247612</v>
      </c>
      <c r="H221">
        <f>2*SIN(A221*PI()*Dashboard!$C$3)*(COS(A221*PI()*Dashboard!$C$13)-COS(A221*PI()*Dashboard!$C$14))/(A221*PI())</f>
        <v>-1.1752858128041082E-3</v>
      </c>
      <c r="I221">
        <f>SUM($H$2:H221)</f>
        <v>3.8102683987928085E-2</v>
      </c>
    </row>
    <row r="222" spans="1:9">
      <c r="A222">
        <v>221</v>
      </c>
      <c r="B222">
        <f>2*SIN(A222*PI()*Dashboard!$C$3)*(COS(A222*PI()*Dashboard!$C$9)-COS(A222*PI()*Dashboard!$C$10))/(A222*PI())</f>
        <v>1.8727931294762207E-3</v>
      </c>
      <c r="C222">
        <f>SUM($B$2:B222)</f>
        <v>3.9996254459173923E-2</v>
      </c>
      <c r="E222">
        <f>2*SIN(A222*PI()*Dashboard!$C$3)*(COS(A222*PI()*Dashboard!$C$11)-COS(A222*PI()*Dashboard!$C$12))/(A222*PI())</f>
        <v>3.1259472726223019E-3</v>
      </c>
      <c r="F222">
        <f>SUM($E$2:E222)</f>
        <v>0.92445964941509839</v>
      </c>
      <c r="H222">
        <f>2*SIN(A222*PI()*Dashboard!$C$3)*(COS(A222*PI()*Dashboard!$C$13)-COS(A222*PI()*Dashboard!$C$14))/(A222*PI())</f>
        <v>4.2192295497551672E-4</v>
      </c>
      <c r="I222">
        <f>SUM($H$2:H222)</f>
        <v>3.8524606942903598E-2</v>
      </c>
    </row>
    <row r="223" spans="1:9">
      <c r="A223">
        <v>222</v>
      </c>
      <c r="B223">
        <f>2*SIN(A223*PI()*Dashboard!$C$3)*(COS(A223*PI()*Dashboard!$C$9)-COS(A223*PI()*Dashboard!$C$10))/(A223*PI())</f>
        <v>-3.2573458447423696E-4</v>
      </c>
      <c r="C223">
        <f>SUM($B$2:B223)</f>
        <v>3.9670519874699689E-2</v>
      </c>
      <c r="E223">
        <f>2*SIN(A223*PI()*Dashboard!$C$3)*(COS(A223*PI()*Dashboard!$C$11)-COS(A223*PI()*Dashboard!$C$12))/(A223*PI())</f>
        <v>1.4413641015272169E-5</v>
      </c>
      <c r="F223">
        <f>SUM($E$2:E223)</f>
        <v>0.92447406305611368</v>
      </c>
      <c r="H223">
        <f>2*SIN(A223*PI()*Dashboard!$C$3)*(COS(A223*PI()*Dashboard!$C$13)-COS(A223*PI()*Dashboard!$C$14))/(A223*PI())</f>
        <v>3.1132094345896473E-4</v>
      </c>
      <c r="I223">
        <f>SUM($H$2:H223)</f>
        <v>3.8835927886362566E-2</v>
      </c>
    </row>
    <row r="224" spans="1:9">
      <c r="A224">
        <v>223</v>
      </c>
      <c r="B224">
        <f>2*SIN(A224*PI()*Dashboard!$C$3)*(COS(A224*PI()*Dashboard!$C$9)-COS(A224*PI()*Dashboard!$C$10))/(A224*PI())</f>
        <v>-5.0400017123965251E-3</v>
      </c>
      <c r="C224">
        <f>SUM($B$2:B224)</f>
        <v>3.4630518162303163E-2</v>
      </c>
      <c r="E224">
        <f>2*SIN(A224*PI()*Dashboard!$C$3)*(COS(A224*PI()*Dashboard!$C$11)-COS(A224*PI()*Dashboard!$C$12))/(A224*PI())</f>
        <v>3.5961444252110581E-3</v>
      </c>
      <c r="F224">
        <f>SUM($E$2:E224)</f>
        <v>0.92807020748132474</v>
      </c>
      <c r="H224">
        <f>2*SIN(A224*PI()*Dashboard!$C$3)*(COS(A224*PI()*Dashboard!$C$13)-COS(A224*PI()*Dashboard!$C$14))/(A224*PI())</f>
        <v>-4.1282315633539603E-3</v>
      </c>
      <c r="I224">
        <f>SUM($H$2:H224)</f>
        <v>3.4707696323008602E-2</v>
      </c>
    </row>
    <row r="225" spans="1:9">
      <c r="A225">
        <v>224</v>
      </c>
      <c r="B225">
        <f>2*SIN(A225*PI()*Dashboard!$C$3)*(COS(A225*PI()*Dashboard!$C$9)-COS(A225*PI()*Dashboard!$C$10))/(A225*PI())</f>
        <v>-9.4607269080477434E-4</v>
      </c>
      <c r="C225">
        <f>SUM($B$2:B225)</f>
        <v>3.3684445471498389E-2</v>
      </c>
      <c r="E225">
        <f>2*SIN(A225*PI()*Dashboard!$C$3)*(COS(A225*PI()*Dashboard!$C$11)-COS(A225*PI()*Dashboard!$C$12))/(A225*PI())</f>
        <v>9.0305772076116123E-4</v>
      </c>
      <c r="F225">
        <f>SUM($E$2:E225)</f>
        <v>0.9289732652020859</v>
      </c>
      <c r="H225">
        <f>2*SIN(A225*PI()*Dashboard!$C$3)*(COS(A225*PI()*Dashboard!$C$13)-COS(A225*PI()*Dashboard!$C$14))/(A225*PI())</f>
        <v>4.3014970043613264E-5</v>
      </c>
      <c r="I225">
        <f>SUM($H$2:H225)</f>
        <v>3.4750711293052218E-2</v>
      </c>
    </row>
    <row r="226" spans="1:9">
      <c r="A226">
        <v>225</v>
      </c>
      <c r="B226">
        <f>2*SIN(A226*PI()*Dashboard!$C$3)*(COS(A226*PI()*Dashboard!$C$9)-COS(A226*PI()*Dashboard!$C$10))/(A226*PI())</f>
        <v>0</v>
      </c>
      <c r="C226">
        <f>SUM($B$2:B226)</f>
        <v>3.3684445471498389E-2</v>
      </c>
      <c r="E226">
        <f>2*SIN(A226*PI()*Dashboard!$C$3)*(COS(A226*PI()*Dashboard!$C$11)-COS(A226*PI()*Dashboard!$C$12))/(A226*PI())</f>
        <v>2.0007029247933509E-3</v>
      </c>
      <c r="F226">
        <f>SUM($E$2:E226)</f>
        <v>0.93097396812687927</v>
      </c>
      <c r="H226">
        <f>2*SIN(A226*PI()*Dashboard!$C$3)*(COS(A226*PI()*Dashboard!$C$13)-COS(A226*PI()*Dashboard!$C$14))/(A226*PI())</f>
        <v>2.0007029247935608E-3</v>
      </c>
      <c r="I226">
        <f>SUM($H$2:H226)</f>
        <v>3.6751414217845779E-2</v>
      </c>
    </row>
    <row r="227" spans="1:9">
      <c r="A227">
        <v>226</v>
      </c>
      <c r="B227">
        <f>2*SIN(A227*PI()*Dashboard!$C$3)*(COS(A227*PI()*Dashboard!$C$9)-COS(A227*PI()*Dashboard!$C$10))/(A227*PI())</f>
        <v>1.705670633922069E-3</v>
      </c>
      <c r="C227">
        <f>SUM($B$2:B227)</f>
        <v>3.5390116105420456E-2</v>
      </c>
      <c r="E227">
        <f>2*SIN(A227*PI()*Dashboard!$C$3)*(COS(A227*PI()*Dashboard!$C$11)-COS(A227*PI()*Dashboard!$C$12))/(A227*PI())</f>
        <v>3.1537173119991942E-3</v>
      </c>
      <c r="F227">
        <f>SUM($E$2:E227)</f>
        <v>0.93412768543887847</v>
      </c>
      <c r="H227">
        <f>2*SIN(A227*PI()*Dashboard!$C$3)*(COS(A227*PI()*Dashboard!$C$13)-COS(A227*PI()*Dashboard!$C$14))/(A227*PI())</f>
        <v>-4.8593879459212629E-3</v>
      </c>
      <c r="I227">
        <f>SUM($H$2:H227)</f>
        <v>3.1892026271924515E-2</v>
      </c>
    </row>
    <row r="228" spans="1:9">
      <c r="A228">
        <v>227</v>
      </c>
      <c r="B228">
        <f>2*SIN(A228*PI()*Dashboard!$C$3)*(COS(A228*PI()*Dashboard!$C$9)-COS(A228*PI()*Dashboard!$C$10))/(A228*PI())</f>
        <v>-1.1067223348656249E-3</v>
      </c>
      <c r="C228">
        <f>SUM($B$2:B228)</f>
        <v>3.4283393770554831E-2</v>
      </c>
      <c r="E228">
        <f>2*SIN(A228*PI()*Dashboard!$C$3)*(COS(A228*PI()*Dashboard!$C$11)-COS(A228*PI()*Dashboard!$C$12))/(A228*PI())</f>
        <v>2.0021350106429292E-4</v>
      </c>
      <c r="F228">
        <f>SUM($E$2:E228)</f>
        <v>0.93432789893994272</v>
      </c>
      <c r="H228">
        <f>2*SIN(A228*PI()*Dashboard!$C$3)*(COS(A228*PI()*Dashboard!$C$13)-COS(A228*PI()*Dashboard!$C$14))/(A228*PI())</f>
        <v>-3.1705328673920728E-4</v>
      </c>
      <c r="I228">
        <f>SUM($H$2:H228)</f>
        <v>3.1574972985185308E-2</v>
      </c>
    </row>
    <row r="229" spans="1:9">
      <c r="A229">
        <v>228</v>
      </c>
      <c r="B229">
        <f>2*SIN(A229*PI()*Dashboard!$C$3)*(COS(A229*PI()*Dashboard!$C$9)-COS(A229*PI()*Dashboard!$C$10))/(A229*PI())</f>
        <v>-5.0411555138078299E-3</v>
      </c>
      <c r="C229">
        <f>SUM($B$2:B229)</f>
        <v>2.9242238256747002E-2</v>
      </c>
      <c r="E229">
        <f>2*SIN(A229*PI()*Dashboard!$C$3)*(COS(A229*PI()*Dashboard!$C$11)-COS(A229*PI()*Dashboard!$C$12))/(A229*PI())</f>
        <v>4.2858772037985314E-3</v>
      </c>
      <c r="F229">
        <f>SUM($E$2:E229)</f>
        <v>0.93861377614374131</v>
      </c>
      <c r="H229">
        <f>2*SIN(A229*PI()*Dashboard!$C$3)*(COS(A229*PI()*Dashboard!$C$13)-COS(A229*PI()*Dashboard!$C$14))/(A229*PI())</f>
        <v>7.5527831000929847E-4</v>
      </c>
      <c r="I229">
        <f>SUM($H$2:H229)</f>
        <v>3.2330251295194609E-2</v>
      </c>
    </row>
    <row r="230" spans="1:9">
      <c r="A230">
        <v>229</v>
      </c>
      <c r="B230">
        <f>2*SIN(A230*PI()*Dashboard!$C$3)*(COS(A230*PI()*Dashboard!$C$9)-COS(A230*PI()*Dashboard!$C$10))/(A230*PI())</f>
        <v>-6.5069253391159053E-4</v>
      </c>
      <c r="C230">
        <f>SUM($B$2:B230)</f>
        <v>2.8591545722835413E-2</v>
      </c>
      <c r="E230">
        <f>2*SIN(A230*PI()*Dashboard!$C$3)*(COS(A230*PI()*Dashboard!$C$11)-COS(A230*PI()*Dashboard!$C$12))/(A230*PI())</f>
        <v>5.0409752970781885E-4</v>
      </c>
      <c r="F230">
        <f>SUM($E$2:E230)</f>
        <v>0.93911787367344912</v>
      </c>
      <c r="H230">
        <f>2*SIN(A230*PI()*Dashboard!$C$3)*(COS(A230*PI()*Dashboard!$C$13)-COS(A230*PI()*Dashboard!$C$14))/(A230*PI())</f>
        <v>-1.7367871589304864E-3</v>
      </c>
      <c r="I230">
        <f>SUM($H$2:H230)</f>
        <v>3.0593464136264122E-2</v>
      </c>
    </row>
    <row r="231" spans="1:9">
      <c r="A231">
        <v>230</v>
      </c>
      <c r="B231">
        <f>2*SIN(A231*PI()*Dashboard!$C$3)*(COS(A231*PI()*Dashboard!$C$9)-COS(A231*PI()*Dashboard!$C$10))/(A231*PI())</f>
        <v>0</v>
      </c>
      <c r="C231">
        <f>SUM($B$2:B231)</f>
        <v>2.8591545722835413E-2</v>
      </c>
      <c r="E231">
        <f>2*SIN(A231*PI()*Dashboard!$C$3)*(COS(A231*PI()*Dashboard!$C$11)-COS(A231*PI()*Dashboard!$C$12))/(A231*PI())</f>
        <v>2.931265903879788E-3</v>
      </c>
      <c r="F231">
        <f>SUM($E$2:E231)</f>
        <v>0.94204913957732894</v>
      </c>
      <c r="H231">
        <f>2*SIN(A231*PI()*Dashboard!$C$3)*(COS(A231*PI()*Dashboard!$C$13)-COS(A231*PI()*Dashboard!$C$14))/(A231*PI())</f>
        <v>-2.931265903879788E-3</v>
      </c>
      <c r="I231">
        <f>SUM($H$2:H231)</f>
        <v>2.7662198232384333E-2</v>
      </c>
    </row>
    <row r="232" spans="1:9">
      <c r="A232">
        <v>231</v>
      </c>
      <c r="B232">
        <f>2*SIN(A232*PI()*Dashboard!$C$3)*(COS(A232*PI()*Dashboard!$C$9)-COS(A232*PI()*Dashboard!$C$10))/(A232*PI())</f>
        <v>1.5046926817790828E-3</v>
      </c>
      <c r="C232">
        <f>SUM($B$2:B232)</f>
        <v>3.0096238404614496E-2</v>
      </c>
      <c r="E232">
        <f>2*SIN(A232*PI()*Dashboard!$C$3)*(COS(A232*PI()*Dashboard!$C$11)-COS(A232*PI()*Dashboard!$C$12))/(A232*PI())</f>
        <v>2.8462337111870377E-3</v>
      </c>
      <c r="F232">
        <f>SUM($E$2:E232)</f>
        <v>0.94489537328851603</v>
      </c>
      <c r="H232">
        <f>2*SIN(A232*PI()*Dashboard!$C$3)*(COS(A232*PI()*Dashboard!$C$13)-COS(A232*PI()*Dashboard!$C$14))/(A232*PI())</f>
        <v>4.297019273950944E-6</v>
      </c>
      <c r="I232">
        <f>SUM($H$2:H232)</f>
        <v>2.7666495251658284E-2</v>
      </c>
    </row>
    <row r="233" spans="1:9">
      <c r="A233">
        <v>232</v>
      </c>
      <c r="B233">
        <f>2*SIN(A233*PI()*Dashboard!$C$3)*(COS(A233*PI()*Dashboard!$C$9)-COS(A233*PI()*Dashboard!$C$10))/(A233*PI())</f>
        <v>-1.8273829531156563E-3</v>
      </c>
      <c r="C233">
        <f>SUM($B$2:B233)</f>
        <v>2.8268855451498841E-2</v>
      </c>
      <c r="E233">
        <f>2*SIN(A233*PI()*Dashboard!$C$3)*(COS(A233*PI()*Dashboard!$C$11)-COS(A233*PI()*Dashboard!$C$12))/(A233*PI())</f>
        <v>6.2794680637467634E-4</v>
      </c>
      <c r="F233">
        <f>SUM($E$2:E233)</f>
        <v>0.94552332009489071</v>
      </c>
      <c r="H233">
        <f>2*SIN(A233*PI()*Dashboard!$C$3)*(COS(A233*PI()*Dashboard!$C$13)-COS(A233*PI()*Dashboard!$C$14))/(A233*PI())</f>
        <v>1.1994361467409797E-3</v>
      </c>
      <c r="I233">
        <f>SUM($H$2:H233)</f>
        <v>2.8865931398399262E-2</v>
      </c>
    </row>
    <row r="234" spans="1:9">
      <c r="A234">
        <v>233</v>
      </c>
      <c r="B234">
        <f>2*SIN(A234*PI()*Dashboard!$C$3)*(COS(A234*PI()*Dashboard!$C$9)-COS(A234*PI()*Dashboard!$C$10))/(A234*PI())</f>
        <v>-4.9207935499225109E-3</v>
      </c>
      <c r="C234">
        <f>SUM($B$2:B234)</f>
        <v>2.3348061901576331E-2</v>
      </c>
      <c r="E234">
        <f>2*SIN(A234*PI()*Dashboard!$C$3)*(COS(A234*PI()*Dashboard!$C$11)-COS(A234*PI()*Dashboard!$C$12))/(A234*PI())</f>
        <v>4.6619090685668246E-3</v>
      </c>
      <c r="F234">
        <f>SUM($E$2:E234)</f>
        <v>0.95018522916345749</v>
      </c>
      <c r="H234">
        <f>2*SIN(A234*PI()*Dashboard!$C$3)*(COS(A234*PI()*Dashboard!$C$13)-COS(A234*PI()*Dashboard!$C$14))/(A234*PI())</f>
        <v>-5.1814110661416316E-3</v>
      </c>
      <c r="I234">
        <f>SUM($H$2:H234)</f>
        <v>2.3684520332257632E-2</v>
      </c>
    </row>
    <row r="235" spans="1:9">
      <c r="A235">
        <v>234</v>
      </c>
      <c r="B235">
        <f>2*SIN(A235*PI()*Dashboard!$C$3)*(COS(A235*PI()*Dashboard!$C$9)-COS(A235*PI()*Dashboard!$C$10))/(A235*PI())</f>
        <v>-3.5225560584491698E-4</v>
      </c>
      <c r="C235">
        <f>SUM($B$2:B235)</f>
        <v>2.2995806295731412E-2</v>
      </c>
      <c r="E235">
        <f>2*SIN(A235*PI()*Dashboard!$C$3)*(COS(A235*PI()*Dashboard!$C$11)-COS(A235*PI()*Dashboard!$C$12))/(A235*PI())</f>
        <v>1.6741830721938382E-4</v>
      </c>
      <c r="F235">
        <f>SUM($E$2:E235)</f>
        <v>0.95035264747067683</v>
      </c>
      <c r="H235">
        <f>2*SIN(A235*PI()*Dashboard!$C$3)*(COS(A235*PI()*Dashboard!$C$13)-COS(A235*PI()*Dashboard!$C$14))/(A235*PI())</f>
        <v>1.8483729862553316E-4</v>
      </c>
      <c r="I235">
        <f>SUM($H$2:H235)</f>
        <v>2.3869357630883166E-2</v>
      </c>
    </row>
    <row r="236" spans="1:9">
      <c r="A236">
        <v>235</v>
      </c>
      <c r="B236">
        <f>2*SIN(A236*PI()*Dashboard!$C$3)*(COS(A236*PI()*Dashboard!$C$9)-COS(A236*PI()*Dashboard!$C$10))/(A236*PI())</f>
        <v>0</v>
      </c>
      <c r="C236">
        <f>SUM($B$2:B236)</f>
        <v>2.2995806295731412E-2</v>
      </c>
      <c r="E236">
        <f>2*SIN(A236*PI()*Dashboard!$C$3)*(COS(A236*PI()*Dashboard!$C$11)-COS(A236*PI()*Dashboard!$C$12))/(A236*PI())</f>
        <v>3.8325242241378406E-3</v>
      </c>
      <c r="F236">
        <f>SUM($E$2:E236)</f>
        <v>0.95418517169481465</v>
      </c>
      <c r="H236">
        <f>2*SIN(A236*PI()*Dashboard!$C$3)*(COS(A236*PI()*Dashboard!$C$13)-COS(A236*PI()*Dashboard!$C$14))/(A236*PI())</f>
        <v>9.9498531294141593E-4</v>
      </c>
      <c r="I236">
        <f>SUM($H$2:H236)</f>
        <v>2.4864342943824582E-2</v>
      </c>
    </row>
    <row r="237" spans="1:9">
      <c r="A237">
        <v>236</v>
      </c>
      <c r="B237">
        <f>2*SIN(A237*PI()*Dashboard!$C$3)*(COS(A237*PI()*Dashboard!$C$9)-COS(A237*PI()*Dashboard!$C$10))/(A237*PI())</f>
        <v>1.275965185748635E-3</v>
      </c>
      <c r="C237">
        <f>SUM($B$2:B237)</f>
        <v>2.4271771481480048E-2</v>
      </c>
      <c r="E237">
        <f>2*SIN(A237*PI()*Dashboard!$C$3)*(COS(A237*PI()*Dashboard!$C$11)-COS(A237*PI()*Dashboard!$C$12))/(A237*PI())</f>
        <v>2.2875488113033105E-3</v>
      </c>
      <c r="F237">
        <f>SUM($E$2:E237)</f>
        <v>0.95647272050611798</v>
      </c>
      <c r="H237">
        <f>2*SIN(A237*PI()*Dashboard!$C$3)*(COS(A237*PI()*Dashboard!$C$13)-COS(A237*PI()*Dashboard!$C$14))/(A237*PI())</f>
        <v>-3.5635139970519457E-3</v>
      </c>
      <c r="I237">
        <f>SUM($H$2:H237)</f>
        <v>2.1300828946772637E-2</v>
      </c>
    </row>
    <row r="238" spans="1:9">
      <c r="A238">
        <v>237</v>
      </c>
      <c r="B238">
        <f>2*SIN(A238*PI()*Dashboard!$C$3)*(COS(A238*PI()*Dashboard!$C$9)-COS(A238*PI()*Dashboard!$C$10))/(A238*PI())</f>
        <v>-2.4735890049170941E-3</v>
      </c>
      <c r="C238">
        <f>SUM($B$2:B238)</f>
        <v>2.1798182476562955E-2</v>
      </c>
      <c r="E238">
        <f>2*SIN(A238*PI()*Dashboard!$C$3)*(COS(A238*PI()*Dashboard!$C$11)-COS(A238*PI()*Dashboard!$C$12))/(A238*PI())</f>
        <v>1.2775990815778661E-3</v>
      </c>
      <c r="F238">
        <f>SUM($E$2:E238)</f>
        <v>0.95775031958769585</v>
      </c>
      <c r="H238">
        <f>2*SIN(A238*PI()*Dashboard!$C$3)*(COS(A238*PI()*Dashboard!$C$13)-COS(A238*PI()*Dashboard!$C$14))/(A238*PI())</f>
        <v>-1.5387428211387159E-3</v>
      </c>
      <c r="I238">
        <f>SUM($H$2:H238)</f>
        <v>1.9762086125633922E-2</v>
      </c>
    </row>
    <row r="239" spans="1:9">
      <c r="A239">
        <v>238</v>
      </c>
      <c r="B239">
        <f>2*SIN(A239*PI()*Dashboard!$C$3)*(COS(A239*PI()*Dashboard!$C$9)-COS(A239*PI()*Dashboard!$C$10))/(A239*PI())</f>
        <v>-4.6868680528739026E-3</v>
      </c>
      <c r="C239">
        <f>SUM($B$2:B239)</f>
        <v>1.7111314423689052E-2</v>
      </c>
      <c r="E239">
        <f>2*SIN(A239*PI()*Dashboard!$C$3)*(COS(A239*PI()*Dashboard!$C$11)-COS(A239*PI()*Dashboard!$C$12))/(A239*PI())</f>
        <v>4.6664385297619064E-3</v>
      </c>
      <c r="F239">
        <f>SUM($E$2:E239)</f>
        <v>0.96241675811745775</v>
      </c>
      <c r="H239">
        <f>2*SIN(A239*PI()*Dashboard!$C$3)*(COS(A239*PI()*Dashboard!$C$13)-COS(A239*PI()*Dashboard!$C$14))/(A239*PI())</f>
        <v>2.0429523111997001E-5</v>
      </c>
      <c r="I239">
        <f>SUM($H$2:H239)</f>
        <v>1.9782515648745919E-2</v>
      </c>
    </row>
    <row r="240" spans="1:9">
      <c r="A240">
        <v>239</v>
      </c>
      <c r="B240">
        <f>2*SIN(A240*PI()*Dashboard!$C$3)*(COS(A240*PI()*Dashboard!$C$9)-COS(A240*PI()*Dashboard!$C$10))/(A240*PI())</f>
        <v>-5.7813334651643789E-5</v>
      </c>
      <c r="C240">
        <f>SUM($B$2:B240)</f>
        <v>1.7053501089037408E-2</v>
      </c>
      <c r="E240">
        <f>2*SIN(A240*PI()*Dashboard!$C$3)*(COS(A240*PI()*Dashboard!$C$11)-COS(A240*PI()*Dashboard!$C$12))/(A240*PI())</f>
        <v>4.9454256055340582E-6</v>
      </c>
      <c r="F240">
        <f>SUM($E$2:E240)</f>
        <v>0.96242170354306333</v>
      </c>
      <c r="H240">
        <f>2*SIN(A240*PI()*Dashboard!$C$3)*(COS(A240*PI()*Dashboard!$C$13)-COS(A240*PI()*Dashboard!$C$14))/(A240*PI())</f>
        <v>-1.1446857877196829E-4</v>
      </c>
      <c r="I240">
        <f>SUM($H$2:H240)</f>
        <v>1.9668047069973951E-2</v>
      </c>
    </row>
    <row r="241" spans="1:9">
      <c r="A241">
        <v>240</v>
      </c>
      <c r="B241">
        <f>2*SIN(A241*PI()*Dashboard!$C$3)*(COS(A241*PI()*Dashboard!$C$9)-COS(A241*PI()*Dashboard!$C$10))/(A241*PI())</f>
        <v>0</v>
      </c>
      <c r="C241">
        <f>SUM($B$2:B241)</f>
        <v>1.7053501089037408E-2</v>
      </c>
      <c r="E241">
        <f>2*SIN(A241*PI()*Dashboard!$C$3)*(COS(A241*PI()*Dashboard!$C$11)-COS(A241*PI()*Dashboard!$C$12))/(A241*PI())</f>
        <v>4.5637080463603848E-3</v>
      </c>
      <c r="F241">
        <f>SUM($E$2:E241)</f>
        <v>0.96698541158942375</v>
      </c>
      <c r="H241">
        <f>2*SIN(A241*PI()*Dashboard!$C$3)*(COS(A241*PI()*Dashboard!$C$13)-COS(A241*PI()*Dashboard!$C$14))/(A241*PI())</f>
        <v>-4.5637080463603848E-3</v>
      </c>
      <c r="I241">
        <f>SUM($H$2:H241)</f>
        <v>1.5104339023613567E-2</v>
      </c>
    </row>
    <row r="242" spans="1:9">
      <c r="A242">
        <v>241</v>
      </c>
      <c r="B242">
        <f>2*SIN(A242*PI()*Dashboard!$C$3)*(COS(A242*PI()*Dashboard!$C$9)-COS(A242*PI()*Dashboard!$C$10))/(A242*PI())</f>
        <v>1.025961795678487E-3</v>
      </c>
      <c r="C242">
        <f>SUM($B$2:B242)</f>
        <v>1.8079462884715895E-2</v>
      </c>
      <c r="E242">
        <f>2*SIN(A242*PI()*Dashboard!$C$3)*(COS(A242*PI()*Dashboard!$C$11)-COS(A242*PI()*Dashboard!$C$12))/(A242*PI())</f>
        <v>1.6028712306672827E-3</v>
      </c>
      <c r="F242">
        <f>SUM($E$2:E242)</f>
        <v>0.96858828282009102</v>
      </c>
      <c r="H242">
        <f>2*SIN(A242*PI()*Dashboard!$C$3)*(COS(A242*PI()*Dashboard!$C$13)-COS(A242*PI()*Dashboard!$C$14))/(A242*PI())</f>
        <v>3.4073869199316241E-4</v>
      </c>
      <c r="I242">
        <f>SUM($H$2:H242)</f>
        <v>1.544507771560673E-2</v>
      </c>
    </row>
    <row r="243" spans="1:9">
      <c r="A243">
        <v>242</v>
      </c>
      <c r="B243">
        <f>2*SIN(A243*PI()*Dashboard!$C$3)*(COS(A243*PI()*Dashboard!$C$9)-COS(A243*PI()*Dashboard!$C$10))/(A243*PI())</f>
        <v>-3.0334427857793443E-3</v>
      </c>
      <c r="C243">
        <f>SUM($B$2:B243)</f>
        <v>1.504602009893655E-2</v>
      </c>
      <c r="E243">
        <f>2*SIN(A243*PI()*Dashboard!$C$3)*(COS(A243*PI()*Dashboard!$C$11)-COS(A243*PI()*Dashboard!$C$12))/(A243*PI())</f>
        <v>2.0705631274547743E-3</v>
      </c>
      <c r="F243">
        <f>SUM($E$2:E243)</f>
        <v>0.97065884594754581</v>
      </c>
      <c r="H243">
        <f>2*SIN(A243*PI()*Dashboard!$C$3)*(COS(A243*PI()*Dashboard!$C$13)-COS(A243*PI()*Dashboard!$C$14))/(A243*PI())</f>
        <v>9.6287965832456948E-4</v>
      </c>
      <c r="I243">
        <f>SUM($H$2:H243)</f>
        <v>1.64079573739313E-2</v>
      </c>
    </row>
    <row r="244" spans="1:9">
      <c r="A244">
        <v>243</v>
      </c>
      <c r="B244">
        <f>2*SIN(A244*PI()*Dashboard!$C$3)*(COS(A244*PI()*Dashboard!$C$9)-COS(A244*PI()*Dashboard!$C$10))/(A244*PI())</f>
        <v>-4.3495374873258417E-3</v>
      </c>
      <c r="C244">
        <f>SUM($B$2:B244)</f>
        <v>1.0696482611610708E-2</v>
      </c>
      <c r="E244">
        <f>2*SIN(A244*PI()*Dashboard!$C$3)*(COS(A244*PI()*Dashboard!$C$11)-COS(A244*PI()*Dashboard!$C$12))/(A244*PI())</f>
        <v>4.3069495695789665E-3</v>
      </c>
      <c r="F244">
        <f>SUM($E$2:E244)</f>
        <v>0.97496579551712481</v>
      </c>
      <c r="H244">
        <f>2*SIN(A244*PI()*Dashboard!$C$3)*(COS(A244*PI()*Dashboard!$C$13)-COS(A244*PI()*Dashboard!$C$14))/(A244*PI())</f>
        <v>-4.7661424599670489E-3</v>
      </c>
      <c r="I244">
        <f>SUM($H$2:H244)</f>
        <v>1.1641814913964252E-2</v>
      </c>
    </row>
    <row r="245" spans="1:9">
      <c r="A245">
        <v>244</v>
      </c>
      <c r="B245">
        <f>2*SIN(A245*PI()*Dashboard!$C$3)*(COS(A245*PI()*Dashboard!$C$9)-COS(A245*PI()*Dashboard!$C$10))/(A245*PI())</f>
        <v>2.2595601528286105E-4</v>
      </c>
      <c r="C245">
        <f>SUM($B$2:B245)</f>
        <v>1.092243862689357E-2</v>
      </c>
      <c r="E245">
        <f>2*SIN(A245*PI()*Dashboard!$C$3)*(COS(A245*PI()*Dashboard!$C$11)-COS(A245*PI()*Dashboard!$C$12))/(A245*PI())</f>
        <v>8.0517686629536691E-5</v>
      </c>
      <c r="F245">
        <f>SUM($E$2:E245)</f>
        <v>0.97504631320375434</v>
      </c>
      <c r="H245">
        <f>2*SIN(A245*PI()*Dashboard!$C$3)*(COS(A245*PI()*Dashboard!$C$13)-COS(A245*PI()*Dashboard!$C$14))/(A245*PI())</f>
        <v>-3.0647370191239776E-4</v>
      </c>
      <c r="I245">
        <f>SUM($H$2:H245)</f>
        <v>1.1335341212051854E-2</v>
      </c>
    </row>
    <row r="246" spans="1:9">
      <c r="A246">
        <v>245</v>
      </c>
      <c r="B246">
        <f>2*SIN(A246*PI()*Dashboard!$C$3)*(COS(A246*PI()*Dashboard!$C$9)-COS(A246*PI()*Dashboard!$C$10))/(A246*PI())</f>
        <v>0</v>
      </c>
      <c r="C246">
        <f>SUM($B$2:B246)</f>
        <v>1.092243862689357E-2</v>
      </c>
      <c r="E246">
        <f>2*SIN(A246*PI()*Dashboard!$C$3)*(COS(A246*PI()*Dashboard!$C$11)-COS(A246*PI()*Dashboard!$C$12))/(A246*PI())</f>
        <v>5.0073023475228013E-3</v>
      </c>
      <c r="F246">
        <f>SUM($E$2:E246)</f>
        <v>0.98005361555127712</v>
      </c>
      <c r="H246">
        <f>2*SIN(A246*PI()*Dashboard!$C$3)*(COS(A246*PI()*Dashboard!$C$13)-COS(A246*PI()*Dashboard!$C$14))/(A246*PI())</f>
        <v>1.2561133867952781E-4</v>
      </c>
      <c r="I246">
        <f>SUM($H$2:H246)</f>
        <v>1.1460952550731382E-2</v>
      </c>
    </row>
    <row r="247" spans="1:9">
      <c r="A247">
        <v>246</v>
      </c>
      <c r="B247">
        <f>2*SIN(A247*PI()*Dashboard!$C$3)*(COS(A247*PI()*Dashboard!$C$9)-COS(A247*PI()*Dashboard!$C$10))/(A247*PI())</f>
        <v>7.6137202782272455E-4</v>
      </c>
      <c r="C247">
        <f>SUM($B$2:B247)</f>
        <v>1.1683810654716294E-2</v>
      </c>
      <c r="E247">
        <f>2*SIN(A247*PI()*Dashboard!$C$3)*(COS(A247*PI()*Dashboard!$C$11)-COS(A247*PI()*Dashboard!$C$12))/(A247*PI())</f>
        <v>9.3090629415993708E-4</v>
      </c>
      <c r="F247">
        <f>SUM($E$2:E247)</f>
        <v>0.98098452184543705</v>
      </c>
      <c r="H247">
        <f>2*SIN(A247*PI()*Dashboard!$C$3)*(COS(A247*PI()*Dashboard!$C$13)-COS(A247*PI()*Dashboard!$C$14))/(A247*PI())</f>
        <v>-1.6922783219826616E-3</v>
      </c>
      <c r="I247">
        <f>SUM($H$2:H247)</f>
        <v>9.7686742287487211E-3</v>
      </c>
    </row>
    <row r="248" spans="1:9">
      <c r="A248">
        <v>247</v>
      </c>
      <c r="B248">
        <f>2*SIN(A248*PI()*Dashboard!$C$3)*(COS(A248*PI()*Dashboard!$C$9)-COS(A248*PI()*Dashboard!$C$10))/(A248*PI())</f>
        <v>-3.4974490055907094E-3</v>
      </c>
      <c r="C248">
        <f>SUM($B$2:B248)</f>
        <v>8.1863616491255845E-3</v>
      </c>
      <c r="E248">
        <f>2*SIN(A248*PI()*Dashboard!$C$3)*(COS(A248*PI()*Dashboard!$C$11)-COS(A248*PI()*Dashboard!$C$12))/(A248*PI())</f>
        <v>2.8875705942152702E-3</v>
      </c>
      <c r="F248">
        <f>SUM($E$2:E248)</f>
        <v>0.98387209243965235</v>
      </c>
      <c r="H248">
        <f>2*SIN(A248*PI()*Dashboard!$C$3)*(COS(A248*PI()*Dashboard!$C$13)-COS(A248*PI()*Dashboard!$C$14))/(A248*PI())</f>
        <v>-3.2568061100700569E-3</v>
      </c>
      <c r="I248">
        <f>SUM($H$2:H248)</f>
        <v>6.5118681186786646E-3</v>
      </c>
    </row>
    <row r="249" spans="1:9">
      <c r="A249">
        <v>248</v>
      </c>
      <c r="B249">
        <f>2*SIN(A249*PI()*Dashboard!$C$3)*(COS(A249*PI()*Dashboard!$C$9)-COS(A249*PI()*Dashboard!$C$10))/(A249*PI())</f>
        <v>-3.9208681876518273E-3</v>
      </c>
      <c r="C249">
        <f>SUM($B$2:B249)</f>
        <v>4.2654934614737572E-3</v>
      </c>
      <c r="E249">
        <f>2*SIN(A249*PI()*Dashboard!$C$3)*(COS(A249*PI()*Dashboard!$C$11)-COS(A249*PI()*Dashboard!$C$12))/(A249*PI())</f>
        <v>3.6527749609165053E-3</v>
      </c>
      <c r="F249">
        <f>SUM($E$2:E249)</f>
        <v>0.98752486740056888</v>
      </c>
      <c r="H249">
        <f>2*SIN(A249*PI()*Dashboard!$C$3)*(COS(A249*PI()*Dashboard!$C$13)-COS(A249*PI()*Dashboard!$C$14))/(A249*PI())</f>
        <v>2.6809322673532215E-4</v>
      </c>
      <c r="I249">
        <f>SUM($H$2:H249)</f>
        <v>6.7799613454139866E-3</v>
      </c>
    </row>
    <row r="250" spans="1:9">
      <c r="A250">
        <v>249</v>
      </c>
      <c r="B250">
        <f>2*SIN(A250*PI()*Dashboard!$C$3)*(COS(A250*PI()*Dashboard!$C$9)-COS(A250*PI()*Dashboard!$C$10))/(A250*PI())</f>
        <v>4.9287694141151813E-4</v>
      </c>
      <c r="C250">
        <f>SUM($B$2:B250)</f>
        <v>4.7583704028852751E-3</v>
      </c>
      <c r="E250">
        <f>2*SIN(A250*PI()*Dashboard!$C$3)*(COS(A250*PI()*Dashboard!$C$11)-COS(A250*PI()*Dashboard!$C$12))/(A250*PI())</f>
        <v>3.9781132059647686E-4</v>
      </c>
      <c r="F250">
        <f>SUM($E$2:E250)</f>
        <v>0.98792267872116535</v>
      </c>
      <c r="H250">
        <f>2*SIN(A250*PI()*Dashboard!$C$3)*(COS(A250*PI()*Dashboard!$C$13)-COS(A250*PI()*Dashboard!$C$14))/(A250*PI())</f>
        <v>5.359081590302539E-4</v>
      </c>
      <c r="I250">
        <f>SUM($H$2:H250)</f>
        <v>7.3158695044442407E-3</v>
      </c>
    </row>
    <row r="251" spans="1:9">
      <c r="A251">
        <v>250</v>
      </c>
      <c r="B251">
        <f>2*SIN(A251*PI()*Dashboard!$C$3)*(COS(A251*PI()*Dashboard!$C$9)-COS(A251*PI()*Dashboard!$C$10))/(A251*PI())</f>
        <v>0</v>
      </c>
      <c r="C251">
        <f>SUM($B$2:B251)</f>
        <v>4.7583704028852751E-3</v>
      </c>
      <c r="E251">
        <f>2*SIN(A251*PI()*Dashboard!$C$3)*(COS(A251*PI()*Dashboard!$C$11)-COS(A251*PI()*Dashboard!$C$12))/(A251*PI())</f>
        <v>5.0929581789406512E-3</v>
      </c>
      <c r="F251">
        <f>SUM($E$2:E251)</f>
        <v>0.99301563690010597</v>
      </c>
      <c r="H251">
        <f>2*SIN(A251*PI()*Dashboard!$C$3)*(COS(A251*PI()*Dashboard!$C$13)-COS(A251*PI()*Dashboard!$C$14))/(A251*PI())</f>
        <v>-5.0929581789406512E-3</v>
      </c>
      <c r="I251">
        <f>SUM($H$2:H251)</f>
        <v>2.2229113255035895E-3</v>
      </c>
    </row>
    <row r="252" spans="1:9">
      <c r="A252">
        <v>251</v>
      </c>
      <c r="B252">
        <f>2*SIN(A252*PI()*Dashboard!$C$3)*(COS(A252*PI()*Dashboard!$C$9)-COS(A252*PI()*Dashboard!$C$10))/(A252*PI())</f>
        <v>4.8894963510549882E-4</v>
      </c>
      <c r="C252">
        <f>SUM($B$2:B252)</f>
        <v>5.2473200379907735E-3</v>
      </c>
      <c r="E252">
        <f>2*SIN(A252*PI()*Dashboard!$C$3)*(COS(A252*PI()*Dashboard!$C$11)-COS(A252*PI()*Dashboard!$C$12))/(A252*PI())</f>
        <v>3.9464150927711879E-4</v>
      </c>
      <c r="F252">
        <f>SUM($E$2:E252)</f>
        <v>0.99341027840938312</v>
      </c>
      <c r="H252">
        <f>2*SIN(A252*PI()*Dashboard!$C$3)*(COS(A252*PI()*Dashboard!$C$13)-COS(A252*PI()*Dashboard!$C$14))/(A252*PI())</f>
        <v>5.3163797449620753E-4</v>
      </c>
      <c r="I252">
        <f>SUM($H$2:H252)</f>
        <v>2.7545492999997969E-3</v>
      </c>
    </row>
    <row r="253" spans="1:9">
      <c r="A253">
        <v>252</v>
      </c>
      <c r="B253">
        <f>2*SIN(A253*PI()*Dashboard!$C$3)*(COS(A253*PI()*Dashboard!$C$9)-COS(A253*PI()*Dashboard!$C$10))/(A253*PI())</f>
        <v>-3.8586321846728281E-3</v>
      </c>
      <c r="C253">
        <f>SUM($B$2:B253)</f>
        <v>1.3886878533179454E-3</v>
      </c>
      <c r="E253">
        <f>2*SIN(A253*PI()*Dashboard!$C$3)*(COS(A253*PI()*Dashboard!$C$11)-COS(A253*PI()*Dashboard!$C$12))/(A253*PI())</f>
        <v>3.5947944059808931E-3</v>
      </c>
      <c r="F253">
        <f>SUM($E$2:E253)</f>
        <v>0.99700507281536399</v>
      </c>
      <c r="H253">
        <f>2*SIN(A253*PI()*Dashboard!$C$3)*(COS(A253*PI()*Dashboard!$C$13)-COS(A253*PI()*Dashboard!$C$14))/(A253*PI())</f>
        <v>2.6383777869193472E-4</v>
      </c>
      <c r="I253">
        <f>SUM($H$2:H253)</f>
        <v>3.0183870786917315E-3</v>
      </c>
    </row>
    <row r="254" spans="1:9">
      <c r="A254">
        <v>253</v>
      </c>
      <c r="B254">
        <f>2*SIN(A254*PI()*Dashboard!$C$3)*(COS(A254*PI()*Dashboard!$C$9)-COS(A254*PI()*Dashboard!$C$10))/(A254*PI())</f>
        <v>-3.4145055509130491E-3</v>
      </c>
      <c r="C254">
        <f>SUM($B$2:B254)</f>
        <v>-2.0258176975951037E-3</v>
      </c>
      <c r="E254">
        <f>2*SIN(A254*PI()*Dashboard!$C$3)*(COS(A254*PI()*Dashboard!$C$11)-COS(A254*PI()*Dashboard!$C$12))/(A254*PI())</f>
        <v>2.8190906591749809E-3</v>
      </c>
      <c r="F254">
        <f>SUM($E$2:E254)</f>
        <v>0.99982416347453895</v>
      </c>
      <c r="H254">
        <f>2*SIN(A254*PI()*Dashboard!$C$3)*(COS(A254*PI()*Dashboard!$C$13)-COS(A254*PI()*Dashboard!$C$14))/(A254*PI())</f>
        <v>-3.17956960153121E-3</v>
      </c>
      <c r="I254">
        <f>SUM($H$2:H254)</f>
        <v>-1.6118252283947847E-4</v>
      </c>
    </row>
    <row r="255" spans="1:9">
      <c r="A255">
        <v>254</v>
      </c>
      <c r="B255">
        <f>2*SIN(A255*PI()*Dashboard!$C$3)*(COS(A255*PI()*Dashboard!$C$9)-COS(A255*PI()*Dashboard!$C$10))/(A255*PI())</f>
        <v>7.373918064738636E-4</v>
      </c>
      <c r="C255">
        <f>SUM($B$2:B255)</f>
        <v>-1.2884258911212401E-3</v>
      </c>
      <c r="E255">
        <f>2*SIN(A255*PI()*Dashboard!$C$3)*(COS(A255*PI()*Dashboard!$C$11)-COS(A255*PI()*Dashboard!$C$12))/(A255*PI())</f>
        <v>9.0158641087900813E-4</v>
      </c>
      <c r="F255">
        <f>SUM($E$2:E255)</f>
        <v>1.0007257498854181</v>
      </c>
      <c r="H255">
        <f>2*SIN(A255*PI()*Dashboard!$C$3)*(COS(A255*PI()*Dashboard!$C$13)-COS(A255*PI()*Dashboard!$C$14))/(A255*PI())</f>
        <v>-1.6389782173528719E-3</v>
      </c>
      <c r="I255">
        <f>SUM($H$2:H255)</f>
        <v>-1.8001607401923504E-3</v>
      </c>
    </row>
    <row r="256" spans="1:9">
      <c r="A256">
        <v>255</v>
      </c>
      <c r="B256">
        <f>2*SIN(A256*PI()*Dashboard!$C$3)*(COS(A256*PI()*Dashboard!$C$9)-COS(A256*PI()*Dashboard!$C$10))/(A256*PI())</f>
        <v>0</v>
      </c>
      <c r="C256">
        <f>SUM($B$2:B256)</f>
        <v>-1.2884258911212401E-3</v>
      </c>
      <c r="E256">
        <f>2*SIN(A256*PI()*Dashboard!$C$3)*(COS(A256*PI()*Dashboard!$C$11)-COS(A256*PI()*Dashboard!$C$12))/(A256*PI())</f>
        <v>4.8109375495808482E-3</v>
      </c>
      <c r="F256">
        <f>SUM($E$2:E256)</f>
        <v>1.0055366874349989</v>
      </c>
      <c r="H256">
        <f>2*SIN(A256*PI()*Dashboard!$C$3)*(COS(A256*PI()*Dashboard!$C$13)-COS(A256*PI()*Dashboard!$C$14))/(A256*PI())</f>
        <v>1.2068540382931642E-4</v>
      </c>
      <c r="I256">
        <f>SUM($H$2:H256)</f>
        <v>-1.6794753363630339E-3</v>
      </c>
    </row>
    <row r="257" spans="1:9">
      <c r="A257">
        <v>256</v>
      </c>
      <c r="B257">
        <f>2*SIN(A257*PI()*Dashboard!$C$3)*(COS(A257*PI()*Dashboard!$C$9)-COS(A257*PI()*Dashboard!$C$10))/(A257*PI())</f>
        <v>2.1536432706664339E-4</v>
      </c>
      <c r="C257">
        <f>SUM($B$2:B257)</f>
        <v>-1.0730615640545968E-3</v>
      </c>
      <c r="E257">
        <f>2*SIN(A257*PI()*Dashboard!$C$3)*(COS(A257*PI()*Dashboard!$C$11)-COS(A257*PI()*Dashboard!$C$12))/(A257*PI())</f>
        <v>7.674342006887238E-5</v>
      </c>
      <c r="F257">
        <f>SUM($E$2:E257)</f>
        <v>1.0056134308550677</v>
      </c>
      <c r="H257">
        <f>2*SIN(A257*PI()*Dashboard!$C$3)*(COS(A257*PI()*Dashboard!$C$13)-COS(A257*PI()*Dashboard!$C$14))/(A257*PI())</f>
        <v>-2.9210774713551578E-4</v>
      </c>
      <c r="I257">
        <f>SUM($H$2:H257)</f>
        <v>-1.9715830834985499E-3</v>
      </c>
    </row>
    <row r="258" spans="1:9">
      <c r="A258">
        <v>257</v>
      </c>
      <c r="B258">
        <f>2*SIN(A258*PI()*Dashboard!$C$3)*(COS(A258*PI()*Dashboard!$C$9)-COS(A258*PI()*Dashboard!$C$10))/(A258*PI())</f>
        <v>-4.1125977020237073E-3</v>
      </c>
      <c r="C258">
        <f>SUM($B$2:B258)</f>
        <v>-5.1856592660783039E-3</v>
      </c>
      <c r="E258">
        <f>2*SIN(A258*PI()*Dashboard!$C$3)*(COS(A258*PI()*Dashboard!$C$11)-COS(A258*PI()*Dashboard!$C$12))/(A258*PI())</f>
        <v>4.0723297486676951E-3</v>
      </c>
      <c r="F258">
        <f>SUM($E$2:E258)</f>
        <v>1.0096857606037355</v>
      </c>
      <c r="H258">
        <f>2*SIN(A258*PI()*Dashboard!$C$3)*(COS(A258*PI()*Dashboard!$C$13)-COS(A258*PI()*Dashboard!$C$14))/(A258*PI())</f>
        <v>-4.5065082403577201E-3</v>
      </c>
      <c r="I258">
        <f>SUM($H$2:H258)</f>
        <v>-6.47809132385627E-3</v>
      </c>
    </row>
    <row r="259" spans="1:9">
      <c r="A259">
        <v>258</v>
      </c>
      <c r="B259">
        <f>2*SIN(A259*PI()*Dashboard!$C$3)*(COS(A259*PI()*Dashboard!$C$9)-COS(A259*PI()*Dashboard!$C$10))/(A259*PI())</f>
        <v>-2.8453223029407319E-3</v>
      </c>
      <c r="C259">
        <f>SUM($B$2:B259)</f>
        <v>-8.0309815690190363E-3</v>
      </c>
      <c r="E259">
        <f>2*SIN(A259*PI()*Dashboard!$C$3)*(COS(A259*PI()*Dashboard!$C$11)-COS(A259*PI()*Dashboard!$C$12))/(A259*PI())</f>
        <v>1.9421561117990316E-3</v>
      </c>
      <c r="F259">
        <f>SUM($E$2:E259)</f>
        <v>1.0116279167155344</v>
      </c>
      <c r="H259">
        <f>2*SIN(A259*PI()*Dashboard!$C$3)*(COS(A259*PI()*Dashboard!$C$13)-COS(A259*PI()*Dashboard!$C$14))/(A259*PI())</f>
        <v>9.0316619114170029E-4</v>
      </c>
      <c r="I259">
        <f>SUM($H$2:H259)</f>
        <v>-5.5749251327145699E-3</v>
      </c>
    </row>
    <row r="260" spans="1:9">
      <c r="A260">
        <v>259</v>
      </c>
      <c r="B260">
        <f>2*SIN(A260*PI()*Dashboard!$C$3)*(COS(A260*PI()*Dashboard!$C$9)-COS(A260*PI()*Dashboard!$C$10))/(A260*PI())</f>
        <v>9.5465943150005905E-4</v>
      </c>
      <c r="C260">
        <f>SUM($B$2:B260)</f>
        <v>-7.0763221375189774E-3</v>
      </c>
      <c r="E260">
        <f>2*SIN(A260*PI()*Dashboard!$C$3)*(COS(A260*PI()*Dashboard!$C$11)-COS(A260*PI()*Dashboard!$C$12))/(A260*PI())</f>
        <v>1.491474774481691E-3</v>
      </c>
      <c r="F260">
        <f>SUM($E$2:E260)</f>
        <v>1.0131193914900161</v>
      </c>
      <c r="H260">
        <f>2*SIN(A260*PI()*Dashboard!$C$3)*(COS(A260*PI()*Dashboard!$C$13)-COS(A260*PI()*Dashboard!$C$14))/(A260*PI())</f>
        <v>3.1705801069635851E-4</v>
      </c>
      <c r="I260">
        <f>SUM($H$2:H260)</f>
        <v>-5.2578671220182118E-3</v>
      </c>
    </row>
    <row r="261" spans="1:9">
      <c r="A261">
        <v>260</v>
      </c>
      <c r="B261">
        <f>2*SIN(A261*PI()*Dashboard!$C$3)*(COS(A261*PI()*Dashboard!$C$9)-COS(A261*PI()*Dashboard!$C$10))/(A261*PI())</f>
        <v>0</v>
      </c>
      <c r="C261">
        <f>SUM($B$2:B261)</f>
        <v>-7.0763221375189774E-3</v>
      </c>
      <c r="E261">
        <f>2*SIN(A261*PI()*Dashboard!$C$3)*(COS(A261*PI()*Dashboard!$C$11)-COS(A261*PI()*Dashboard!$C$12))/(A261*PI())</f>
        <v>4.2126535812559507E-3</v>
      </c>
      <c r="F261">
        <f>SUM($E$2:E261)</f>
        <v>1.017332045071272</v>
      </c>
      <c r="H261">
        <f>2*SIN(A261*PI()*Dashboard!$C$3)*(COS(A261*PI()*Dashboard!$C$13)-COS(A261*PI()*Dashboard!$C$14))/(A261*PI())</f>
        <v>-4.2126535812559507E-3</v>
      </c>
      <c r="I261">
        <f>SUM($H$2:H261)</f>
        <v>-9.4705207032741625E-3</v>
      </c>
    </row>
    <row r="262" spans="1:9">
      <c r="A262">
        <v>261</v>
      </c>
      <c r="B262">
        <f>2*SIN(A262*PI()*Dashboard!$C$3)*(COS(A262*PI()*Dashboard!$C$9)-COS(A262*PI()*Dashboard!$C$10))/(A262*PI())</f>
        <v>-5.2940180006489686E-5</v>
      </c>
      <c r="C262">
        <f>SUM($B$2:B262)</f>
        <v>-7.1292623175254668E-3</v>
      </c>
      <c r="E262">
        <f>2*SIN(A262*PI()*Dashboard!$C$3)*(COS(A262*PI()*Dashboard!$C$11)-COS(A262*PI()*Dashboard!$C$12))/(A262*PI())</f>
        <v>4.5285698073396911E-6</v>
      </c>
      <c r="F262">
        <f>SUM($E$2:E262)</f>
        <v>1.0173365736410793</v>
      </c>
      <c r="H262">
        <f>2*SIN(A262*PI()*Dashboard!$C$3)*(COS(A262*PI()*Dashboard!$C$13)-COS(A262*PI()*Dashboard!$C$14))/(A262*PI())</f>
        <v>-1.0481988630807106E-4</v>
      </c>
      <c r="I262">
        <f>SUM($H$2:H262)</f>
        <v>-9.5753405895822336E-3</v>
      </c>
    </row>
    <row r="263" spans="1:9">
      <c r="A263">
        <v>262</v>
      </c>
      <c r="B263">
        <f>2*SIN(A263*PI()*Dashboard!$C$3)*(COS(A263*PI()*Dashboard!$C$9)-COS(A263*PI()*Dashboard!$C$10))/(A263*PI())</f>
        <v>-4.2575366281829737E-3</v>
      </c>
      <c r="C263">
        <f>SUM($B$2:B263)</f>
        <v>-1.138679894570844E-2</v>
      </c>
      <c r="E263">
        <f>2*SIN(A263*PI()*Dashboard!$C$3)*(COS(A263*PI()*Dashboard!$C$11)-COS(A263*PI()*Dashboard!$C$12))/(A263*PI())</f>
        <v>4.2389785117682736E-3</v>
      </c>
      <c r="F263">
        <f>SUM($E$2:E263)</f>
        <v>1.0215755521528476</v>
      </c>
      <c r="H263">
        <f>2*SIN(A263*PI()*Dashboard!$C$3)*(COS(A263*PI()*Dashboard!$C$13)-COS(A263*PI()*Dashboard!$C$14))/(A263*PI())</f>
        <v>1.8558116414700214E-5</v>
      </c>
      <c r="I263">
        <f>SUM($H$2:H263)</f>
        <v>-9.5567824731675327E-3</v>
      </c>
    </row>
    <row r="264" spans="1:9">
      <c r="A264">
        <v>263</v>
      </c>
      <c r="B264">
        <f>2*SIN(A264*PI()*Dashboard!$C$3)*(COS(A264*PI()*Dashboard!$C$9)-COS(A264*PI()*Dashboard!$C$10))/(A264*PI())</f>
        <v>-2.2290516888420807E-3</v>
      </c>
      <c r="C264">
        <f>SUM($B$2:B264)</f>
        <v>-1.3615850634550522E-2</v>
      </c>
      <c r="E264">
        <f>2*SIN(A264*PI()*Dashboard!$C$3)*(COS(A264*PI()*Dashboard!$C$11)-COS(A264*PI()*Dashboard!$C$12))/(A264*PI())</f>
        <v>1.1512965107757954E-3</v>
      </c>
      <c r="F264">
        <f>SUM($E$2:E264)</f>
        <v>1.0227268486636234</v>
      </c>
      <c r="H264">
        <f>2*SIN(A264*PI()*Dashboard!$C$3)*(COS(A264*PI()*Dashboard!$C$13)-COS(A264*PI()*Dashboard!$C$14))/(A264*PI())</f>
        <v>-1.3866237589732191E-3</v>
      </c>
      <c r="I264">
        <f>SUM($H$2:H264)</f>
        <v>-1.0943406232140752E-2</v>
      </c>
    </row>
    <row r="265" spans="1:9">
      <c r="A265">
        <v>264</v>
      </c>
      <c r="B265">
        <f>2*SIN(A265*PI()*Dashboard!$C$3)*(COS(A265*PI()*Dashboard!$C$9)-COS(A265*PI()*Dashboard!$C$10))/(A265*PI())</f>
        <v>1.1406355448358543E-3</v>
      </c>
      <c r="C265">
        <f>SUM($B$2:B265)</f>
        <v>-1.2475215089714668E-2</v>
      </c>
      <c r="E265">
        <f>2*SIN(A265*PI()*Dashboard!$C$3)*(COS(A265*PI()*Dashboard!$C$11)-COS(A265*PI()*Dashboard!$C$12))/(A265*PI())</f>
        <v>2.0449299979829181E-3</v>
      </c>
      <c r="F265">
        <f>SUM($E$2:E265)</f>
        <v>1.0247717786616064</v>
      </c>
      <c r="H265">
        <f>2*SIN(A265*PI()*Dashboard!$C$3)*(COS(A265*PI()*Dashboard!$C$13)-COS(A265*PI()*Dashboard!$C$14))/(A265*PI())</f>
        <v>-3.1855655428187726E-3</v>
      </c>
      <c r="I265">
        <f>SUM($H$2:H265)</f>
        <v>-1.4128971774959524E-2</v>
      </c>
    </row>
    <row r="266" spans="1:9">
      <c r="A266">
        <v>265</v>
      </c>
      <c r="B266">
        <f>2*SIN(A266*PI()*Dashboard!$C$3)*(COS(A266*PI()*Dashboard!$C$9)-COS(A266*PI()*Dashboard!$C$10))/(A266*PI())</f>
        <v>0</v>
      </c>
      <c r="C266">
        <f>SUM($B$2:B266)</f>
        <v>-1.2475215089714668E-2</v>
      </c>
      <c r="E266">
        <f>2*SIN(A266*PI()*Dashboard!$C$3)*(COS(A266*PI()*Dashboard!$C$11)-COS(A266*PI()*Dashboard!$C$12))/(A266*PI())</f>
        <v>3.3986535572545777E-3</v>
      </c>
      <c r="F266">
        <f>SUM($E$2:E266)</f>
        <v>1.028170432218861</v>
      </c>
      <c r="H266">
        <f>2*SIN(A266*PI()*Dashboard!$C$3)*(COS(A266*PI()*Dashboard!$C$13)-COS(A266*PI()*Dashboard!$C$14))/(A266*PI())</f>
        <v>8.8234546619329782E-4</v>
      </c>
      <c r="I266">
        <f>SUM($H$2:H266)</f>
        <v>-1.3246626308766227E-2</v>
      </c>
    </row>
    <row r="267" spans="1:9">
      <c r="A267">
        <v>266</v>
      </c>
      <c r="B267">
        <f>2*SIN(A267*PI()*Dashboard!$C$3)*(COS(A267*PI()*Dashboard!$C$9)-COS(A267*PI()*Dashboard!$C$10))/(A267*PI())</f>
        <v>-3.0987899160771421E-4</v>
      </c>
      <c r="C267">
        <f>SUM($B$2:B267)</f>
        <v>-1.2785094081322381E-2</v>
      </c>
      <c r="E267">
        <f>2*SIN(A267*PI()*Dashboard!$C$3)*(COS(A267*PI()*Dashboard!$C$11)-COS(A267*PI()*Dashboard!$C$12))/(A267*PI())</f>
        <v>1.4727775898231999E-4</v>
      </c>
      <c r="F267">
        <f>SUM($E$2:E267)</f>
        <v>1.0283177099778433</v>
      </c>
      <c r="H267">
        <f>2*SIN(A267*PI()*Dashboard!$C$3)*(COS(A267*PI()*Dashboard!$C$13)-COS(A267*PI()*Dashboard!$C$14))/(A267*PI())</f>
        <v>1.6260123262539422E-4</v>
      </c>
      <c r="I267">
        <f>SUM($H$2:H267)</f>
        <v>-1.3084025076140832E-2</v>
      </c>
    </row>
    <row r="268" spans="1:9">
      <c r="A268">
        <v>267</v>
      </c>
      <c r="B268">
        <f>2*SIN(A268*PI()*Dashboard!$C$3)*(COS(A268*PI()*Dashboard!$C$9)-COS(A268*PI()*Dashboard!$C$10))/(A268*PI())</f>
        <v>-4.2941756446888153E-3</v>
      </c>
      <c r="C268">
        <f>SUM($B$2:B268)</f>
        <v>-1.7079269726011197E-2</v>
      </c>
      <c r="E268">
        <f>2*SIN(A268*PI()*Dashboard!$C$3)*(COS(A268*PI()*Dashboard!$C$11)-COS(A268*PI()*Dashboard!$C$12))/(A268*PI())</f>
        <v>4.0682577265020673E-3</v>
      </c>
      <c r="F268">
        <f>SUM($E$2:E268)</f>
        <v>1.0323859677043454</v>
      </c>
      <c r="H268">
        <f>2*SIN(A268*PI()*Dashboard!$C$3)*(COS(A268*PI()*Dashboard!$C$13)-COS(A268*PI()*Dashboard!$C$14))/(A268*PI())</f>
        <v>-4.5216059116516879E-3</v>
      </c>
      <c r="I268">
        <f>SUM($H$2:H268)</f>
        <v>-1.7605630987792519E-2</v>
      </c>
    </row>
    <row r="269" spans="1:9">
      <c r="A269">
        <v>268</v>
      </c>
      <c r="B269">
        <f>2*SIN(A269*PI()*Dashboard!$C$3)*(COS(A269*PI()*Dashboard!$C$9)-COS(A269*PI()*Dashboard!$C$10))/(A269*PI())</f>
        <v>-1.5819136012050522E-3</v>
      </c>
      <c r="C269">
        <f>SUM($B$2:B269)</f>
        <v>-1.8661183327216248E-2</v>
      </c>
      <c r="E269">
        <f>2*SIN(A269*PI()*Dashboard!$C$3)*(COS(A269*PI()*Dashboard!$C$11)-COS(A269*PI()*Dashboard!$C$12))/(A269*PI())</f>
        <v>5.4359574283202388E-4</v>
      </c>
      <c r="F269">
        <f>SUM($E$2:E269)</f>
        <v>1.0329295634471773</v>
      </c>
      <c r="H269">
        <f>2*SIN(A269*PI()*Dashboard!$C$3)*(COS(A269*PI()*Dashboard!$C$13)-COS(A269*PI()*Dashboard!$C$14))/(A269*PI())</f>
        <v>1.0383178583730284E-3</v>
      </c>
      <c r="I269">
        <f>SUM($H$2:H269)</f>
        <v>-1.6567313129419489E-2</v>
      </c>
    </row>
    <row r="270" spans="1:9">
      <c r="A270">
        <v>269</v>
      </c>
      <c r="B270">
        <f>2*SIN(A270*PI()*Dashboard!$C$3)*(COS(A270*PI()*Dashboard!$C$9)-COS(A270*PI()*Dashboard!$C$10))/(A270*PI())</f>
        <v>1.2921338642787362E-3</v>
      </c>
      <c r="C270">
        <f>SUM($B$2:B270)</f>
        <v>-1.7369049462937512E-2</v>
      </c>
      <c r="E270">
        <f>2*SIN(A270*PI()*Dashboard!$C$3)*(COS(A270*PI()*Dashboard!$C$11)-COS(A270*PI()*Dashboard!$C$12))/(A270*PI())</f>
        <v>2.4441635215024294E-3</v>
      </c>
      <c r="F270">
        <f>SUM($E$2:E270)</f>
        <v>1.0353737269686798</v>
      </c>
      <c r="H270">
        <f>2*SIN(A270*PI()*Dashboard!$C$3)*(COS(A270*PI()*Dashboard!$C$13)-COS(A270*PI()*Dashboard!$C$14))/(A270*PI())</f>
        <v>3.6900053988257903E-6</v>
      </c>
      <c r="I270">
        <f>SUM($H$2:H270)</f>
        <v>-1.6563623124020665E-2</v>
      </c>
    </row>
    <row r="271" spans="1:9">
      <c r="A271">
        <v>270</v>
      </c>
      <c r="B271">
        <f>2*SIN(A271*PI()*Dashboard!$C$3)*(COS(A271*PI()*Dashboard!$C$9)-COS(A271*PI()*Dashboard!$C$10))/(A271*PI())</f>
        <v>0</v>
      </c>
      <c r="C271">
        <f>SUM($B$2:B271)</f>
        <v>-1.7369049462937512E-2</v>
      </c>
      <c r="E271">
        <f>2*SIN(A271*PI()*Dashboard!$C$3)*(COS(A271*PI()*Dashboard!$C$11)-COS(A271*PI()*Dashboard!$C$12))/(A271*PI())</f>
        <v>2.4970042884903659E-3</v>
      </c>
      <c r="F271">
        <f>SUM($E$2:E271)</f>
        <v>1.0378707312571702</v>
      </c>
      <c r="H271">
        <f>2*SIN(A271*PI()*Dashboard!$C$3)*(COS(A271*PI()*Dashboard!$C$13)-COS(A271*PI()*Dashboard!$C$14))/(A271*PI())</f>
        <v>-2.4970042884903659E-3</v>
      </c>
      <c r="I271">
        <f>SUM($H$2:H271)</f>
        <v>-1.9060627412511029E-2</v>
      </c>
    </row>
    <row r="272" spans="1:9">
      <c r="A272">
        <v>271</v>
      </c>
      <c r="B272">
        <f>2*SIN(A272*PI()*Dashboard!$C$3)*(COS(A272*PI()*Dashboard!$C$9)-COS(A272*PI()*Dashboard!$C$10))/(A272*PI())</f>
        <v>-5.4984719655235242E-4</v>
      </c>
      <c r="C272">
        <f>SUM($B$2:B272)</f>
        <v>-1.7918896659489866E-2</v>
      </c>
      <c r="E272">
        <f>2*SIN(A272*PI()*Dashboard!$C$3)*(COS(A272*PI()*Dashboard!$C$11)-COS(A272*PI()*Dashboard!$C$12))/(A272*PI())</f>
        <v>4.2597171329528317E-4</v>
      </c>
      <c r="F272">
        <f>SUM($E$2:E272)</f>
        <v>1.0382967029704655</v>
      </c>
      <c r="H272">
        <f>2*SIN(A272*PI()*Dashboard!$C$3)*(COS(A272*PI()*Dashboard!$C$13)-COS(A272*PI()*Dashboard!$C$14))/(A272*PI())</f>
        <v>-1.467617193339304E-3</v>
      </c>
      <c r="I272">
        <f>SUM($H$2:H272)</f>
        <v>-2.0528244605850333E-2</v>
      </c>
    </row>
    <row r="273" spans="1:9">
      <c r="A273">
        <v>272</v>
      </c>
      <c r="B273">
        <f>2*SIN(A273*PI()*Dashboard!$C$3)*(COS(A273*PI()*Dashboard!$C$9)-COS(A273*PI()*Dashboard!$C$10))/(A273*PI())</f>
        <v>-4.2256744748094596E-3</v>
      </c>
      <c r="C273">
        <f>SUM($B$2:B273)</f>
        <v>-2.2144571134299323E-2</v>
      </c>
      <c r="E273">
        <f>2*SIN(A273*PI()*Dashboard!$C$3)*(COS(A273*PI()*Dashboard!$C$11)-COS(A273*PI()*Dashboard!$C$12))/(A273*PI())</f>
        <v>3.5925735384782068E-3</v>
      </c>
      <c r="F273">
        <f>SUM($E$2:E273)</f>
        <v>1.0418892765089438</v>
      </c>
      <c r="H273">
        <f>2*SIN(A273*PI()*Dashboard!$C$3)*(COS(A273*PI()*Dashboard!$C$13)-COS(A273*PI()*Dashboard!$C$14))/(A273*PI())</f>
        <v>6.331009363312526E-4</v>
      </c>
      <c r="I273">
        <f>SUM($H$2:H273)</f>
        <v>-1.989514366951908E-2</v>
      </c>
    </row>
    <row r="274" spans="1:9">
      <c r="A274">
        <v>273</v>
      </c>
      <c r="B274">
        <f>2*SIN(A274*PI()*Dashboard!$C$3)*(COS(A274*PI()*Dashboard!$C$9)-COS(A274*PI()*Dashboard!$C$10))/(A274*PI())</f>
        <v>-9.2024164840520597E-4</v>
      </c>
      <c r="C274">
        <f>SUM($B$2:B274)</f>
        <v>-2.306481278270453E-2</v>
      </c>
      <c r="E274">
        <f>2*SIN(A274*PI()*Dashboard!$C$3)*(COS(A274*PI()*Dashboard!$C$11)-COS(A274*PI()*Dashboard!$C$12))/(A274*PI())</f>
        <v>1.6647789282646976E-4</v>
      </c>
      <c r="F274">
        <f>SUM($E$2:E274)</f>
        <v>1.0420557544017703</v>
      </c>
      <c r="H274">
        <f>2*SIN(A274*PI()*Dashboard!$C$3)*(COS(A274*PI()*Dashboard!$C$13)-COS(A274*PI()*Dashboard!$C$14))/(A274*PI())</f>
        <v>-2.6363038860747307E-4</v>
      </c>
      <c r="I274">
        <f>SUM($H$2:H274)</f>
        <v>-2.0158774058126553E-2</v>
      </c>
    </row>
    <row r="275" spans="1:9">
      <c r="A275">
        <v>274</v>
      </c>
      <c r="B275">
        <f>2*SIN(A275*PI()*Dashboard!$C$3)*(COS(A275*PI()*Dashboard!$C$9)-COS(A275*PI()*Dashboard!$C$10))/(A275*PI())</f>
        <v>1.4068670192205223E-3</v>
      </c>
      <c r="C275">
        <f>SUM($B$2:B275)</f>
        <v>-2.1657945763484007E-2</v>
      </c>
      <c r="E275">
        <f>2*SIN(A275*PI()*Dashboard!$C$3)*(COS(A275*PI()*Dashboard!$C$11)-COS(A275*PI()*Dashboard!$C$12))/(A275*PI())</f>
        <v>2.601241286539139E-3</v>
      </c>
      <c r="F275">
        <f>SUM($E$2:E275)</f>
        <v>1.0446569956883094</v>
      </c>
      <c r="H275">
        <f>2*SIN(A275*PI()*Dashboard!$C$3)*(COS(A275*PI()*Dashboard!$C$13)-COS(A275*PI()*Dashboard!$C$14))/(A275*PI())</f>
        <v>-4.0081083057596622E-3</v>
      </c>
      <c r="I275">
        <f>SUM($H$2:H275)</f>
        <v>-2.4166882363886213E-2</v>
      </c>
    </row>
    <row r="276" spans="1:9">
      <c r="A276">
        <v>275</v>
      </c>
      <c r="B276">
        <f>2*SIN(A276*PI()*Dashboard!$C$3)*(COS(A276*PI()*Dashboard!$C$9)-COS(A276*PI()*Dashboard!$C$10))/(A276*PI())</f>
        <v>0</v>
      </c>
      <c r="C276">
        <f>SUM($B$2:B276)</f>
        <v>-2.1657945763484007E-2</v>
      </c>
      <c r="E276">
        <f>2*SIN(A276*PI()*Dashboard!$C$3)*(COS(A276*PI()*Dashboard!$C$11)-COS(A276*PI()*Dashboard!$C$12))/(A276*PI())</f>
        <v>1.6369387566493568E-3</v>
      </c>
      <c r="F276">
        <f>SUM($E$2:E276)</f>
        <v>1.0462939344449587</v>
      </c>
      <c r="H276">
        <f>2*SIN(A276*PI()*Dashboard!$C$3)*(COS(A276*PI()*Dashboard!$C$13)-COS(A276*PI()*Dashboard!$C$14))/(A276*PI())</f>
        <v>1.6369387566493746E-3</v>
      </c>
      <c r="I276">
        <f>SUM($H$2:H276)</f>
        <v>-2.2529943607236837E-2</v>
      </c>
    </row>
    <row r="277" spans="1:9">
      <c r="A277">
        <v>276</v>
      </c>
      <c r="B277">
        <f>2*SIN(A277*PI()*Dashboard!$C$3)*(COS(A277*PI()*Dashboard!$C$9)-COS(A277*PI()*Dashboard!$C$10))/(A277*PI())</f>
        <v>-7.6782711137758273E-4</v>
      </c>
      <c r="C277">
        <f>SUM($B$2:B277)</f>
        <v>-2.2425772874861589E-2</v>
      </c>
      <c r="E277">
        <f>2*SIN(A277*PI()*Dashboard!$C$3)*(COS(A277*PI()*Dashboard!$C$11)-COS(A277*PI()*Dashboard!$C$12))/(A277*PI())</f>
        <v>7.3291641105232522E-4</v>
      </c>
      <c r="F277">
        <f>SUM($E$2:E277)</f>
        <v>1.047026850856011</v>
      </c>
      <c r="H277">
        <f>2*SIN(A277*PI()*Dashboard!$C$3)*(COS(A277*PI()*Dashboard!$C$13)-COS(A277*PI()*Dashboard!$C$14))/(A277*PI())</f>
        <v>3.4910700325257519E-5</v>
      </c>
      <c r="I277">
        <f>SUM($H$2:H277)</f>
        <v>-2.2495032906911579E-2</v>
      </c>
    </row>
    <row r="278" spans="1:9">
      <c r="A278">
        <v>277</v>
      </c>
      <c r="B278">
        <f>2*SIN(A278*PI()*Dashboard!$C$3)*(COS(A278*PI()*Dashboard!$C$9)-COS(A278*PI()*Dashboard!$C$10))/(A278*PI())</f>
        <v>-4.0574743027596838E-3</v>
      </c>
      <c r="C278">
        <f>SUM($B$2:B278)</f>
        <v>-2.6483247177621273E-2</v>
      </c>
      <c r="E278">
        <f>2*SIN(A278*PI()*Dashboard!$C$3)*(COS(A278*PI()*Dashboard!$C$11)-COS(A278*PI()*Dashboard!$C$12))/(A278*PI())</f>
        <v>2.8950909993577306E-3</v>
      </c>
      <c r="F278">
        <f>SUM($E$2:E278)</f>
        <v>1.0499219418553687</v>
      </c>
      <c r="H278">
        <f>2*SIN(A278*PI()*Dashboard!$C$3)*(COS(A278*PI()*Dashboard!$C$13)-COS(A278*PI()*Dashboard!$C$14))/(A278*PI())</f>
        <v>-3.3234499589457791E-3</v>
      </c>
      <c r="I278">
        <f>SUM($H$2:H278)</f>
        <v>-2.5818482865857358E-2</v>
      </c>
    </row>
    <row r="279" spans="1:9">
      <c r="A279">
        <v>278</v>
      </c>
      <c r="B279">
        <f>2*SIN(A279*PI()*Dashboard!$C$3)*(COS(A279*PI()*Dashboard!$C$9)-COS(A279*PI()*Dashboard!$C$10))/(A279*PI())</f>
        <v>-2.6011898472424203E-4</v>
      </c>
      <c r="C279">
        <f>SUM($B$2:B279)</f>
        <v>-2.6743366162345517E-2</v>
      </c>
      <c r="E279">
        <f>2*SIN(A279*PI()*Dashboard!$C$3)*(COS(A279*PI()*Dashboard!$C$11)-COS(A279*PI()*Dashboard!$C$12))/(A279*PI())</f>
        <v>1.1510173760415444E-5</v>
      </c>
      <c r="F279">
        <f>SUM($E$2:E279)</f>
        <v>1.049933452029129</v>
      </c>
      <c r="H279">
        <f>2*SIN(A279*PI()*Dashboard!$C$3)*(COS(A279*PI()*Dashboard!$C$13)-COS(A279*PI()*Dashboard!$C$14))/(A279*PI())</f>
        <v>2.4860881096382663E-4</v>
      </c>
      <c r="I279">
        <f>SUM($H$2:H279)</f>
        <v>-2.556987405489353E-2</v>
      </c>
    </row>
    <row r="280" spans="1:9">
      <c r="A280">
        <v>279</v>
      </c>
      <c r="B280">
        <f>2*SIN(A280*PI()*Dashboard!$C$3)*(COS(A280*PI()*Dashboard!$C$9)-COS(A280*PI()*Dashboard!$C$10))/(A280*PI())</f>
        <v>1.4834669591910392E-3</v>
      </c>
      <c r="C280">
        <f>SUM($B$2:B280)</f>
        <v>-2.5259899203154478E-2</v>
      </c>
      <c r="E280">
        <f>2*SIN(A280*PI()*Dashboard!$C$3)*(COS(A280*PI()*Dashboard!$C$11)-COS(A280*PI()*Dashboard!$C$12))/(A280*PI())</f>
        <v>2.476108771503473E-3</v>
      </c>
      <c r="F280">
        <f>SUM($E$2:E280)</f>
        <v>1.0524095608006325</v>
      </c>
      <c r="H280">
        <f>2*SIN(A280*PI()*Dashboard!$C$3)*(COS(A280*PI()*Dashboard!$C$13)-COS(A280*PI()*Dashboard!$C$14))/(A280*PI())</f>
        <v>3.3421137293753562E-4</v>
      </c>
      <c r="I280">
        <f>SUM($H$2:H280)</f>
        <v>-2.5235662681955994E-2</v>
      </c>
    </row>
    <row r="281" spans="1:9">
      <c r="A281">
        <v>280</v>
      </c>
      <c r="B281">
        <f>2*SIN(A281*PI()*Dashboard!$C$3)*(COS(A281*PI()*Dashboard!$C$9)-COS(A281*PI()*Dashboard!$C$10))/(A281*PI())</f>
        <v>0</v>
      </c>
      <c r="C281">
        <f>SUM($B$2:B281)</f>
        <v>-2.5259899203154478E-2</v>
      </c>
      <c r="E281">
        <f>2*SIN(A281*PI()*Dashboard!$C$3)*(COS(A281*PI()*Dashboard!$C$11)-COS(A281*PI()*Dashboard!$C$12))/(A281*PI())</f>
        <v>9.2343885291763707E-4</v>
      </c>
      <c r="F281">
        <f>SUM($E$2:E281)</f>
        <v>1.0533329996535501</v>
      </c>
      <c r="H281">
        <f>2*SIN(A281*PI()*Dashboard!$C$3)*(COS(A281*PI()*Dashboard!$C$13)-COS(A281*PI()*Dashboard!$C$14))/(A281*PI())</f>
        <v>-9.2343885291763707E-4</v>
      </c>
      <c r="I281">
        <f>SUM($H$2:H281)</f>
        <v>-2.6159101534873632E-2</v>
      </c>
    </row>
    <row r="282" spans="1:9">
      <c r="A282">
        <v>281</v>
      </c>
      <c r="B282">
        <f>2*SIN(A282*PI()*Dashboard!$C$3)*(COS(A282*PI()*Dashboard!$C$9)-COS(A282*PI()*Dashboard!$C$10))/(A282*PI())</f>
        <v>-9.5947969583838198E-4</v>
      </c>
      <c r="C282">
        <f>SUM($B$2:B282)</f>
        <v>-2.6219378898992861E-2</v>
      </c>
      <c r="E282">
        <f>2*SIN(A282*PI()*Dashboard!$C$3)*(COS(A282*PI()*Dashboard!$C$11)-COS(A282*PI()*Dashboard!$C$12))/(A282*PI())</f>
        <v>9.5673966606625582E-4</v>
      </c>
      <c r="F282">
        <f>SUM($E$2:E282)</f>
        <v>1.0542897393196164</v>
      </c>
      <c r="H282">
        <f>2*SIN(A282*PI()*Dashboard!$C$3)*(COS(A282*PI()*Dashboard!$C$13)-COS(A282*PI()*Dashboard!$C$14))/(A282*PI())</f>
        <v>-2.7744040910750584E-3</v>
      </c>
      <c r="I282">
        <f>SUM($H$2:H282)</f>
        <v>-2.893350562594869E-2</v>
      </c>
    </row>
    <row r="283" spans="1:9">
      <c r="A283">
        <v>282</v>
      </c>
      <c r="B283">
        <f>2*SIN(A283*PI()*Dashboard!$C$3)*(COS(A283*PI()*Dashboard!$C$9)-COS(A283*PI()*Dashboard!$C$10))/(A283*PI())</f>
        <v>-3.7971016195080956E-3</v>
      </c>
      <c r="C283">
        <f>SUM($B$2:B283)</f>
        <v>-3.0016480518500956E-2</v>
      </c>
      <c r="E283">
        <f>2*SIN(A283*PI()*Dashboard!$C$3)*(COS(A283*PI()*Dashboard!$C$11)-COS(A283*PI()*Dashboard!$C$12))/(A283*PI())</f>
        <v>2.0914262521547692E-3</v>
      </c>
      <c r="F283">
        <f>SUM($E$2:E283)</f>
        <v>1.0563811655717712</v>
      </c>
      <c r="H283">
        <f>2*SIN(A283*PI()*Dashboard!$C$3)*(COS(A283*PI()*Dashboard!$C$13)-COS(A283*PI()*Dashboard!$C$14))/(A283*PI())</f>
        <v>1.7056753673533266E-3</v>
      </c>
      <c r="I283">
        <f>SUM($H$2:H283)</f>
        <v>-2.7227830258595365E-2</v>
      </c>
    </row>
    <row r="284" spans="1:9">
      <c r="A284">
        <v>283</v>
      </c>
      <c r="B284">
        <f>2*SIN(A284*PI()*Dashboard!$C$3)*(COS(A284*PI()*Dashboard!$C$9)-COS(A284*PI()*Dashboard!$C$10))/(A284*PI())</f>
        <v>3.8296962005481813E-4</v>
      </c>
      <c r="C284">
        <f>SUM($B$2:B284)</f>
        <v>-2.9633510898446139E-2</v>
      </c>
      <c r="E284">
        <f>2*SIN(A284*PI()*Dashboard!$C$3)*(COS(A284*PI()*Dashboard!$C$11)-COS(A284*PI()*Dashboard!$C$12))/(A284*PI())</f>
        <v>2.0283027555100402E-5</v>
      </c>
      <c r="F284">
        <f>SUM($E$2:E284)</f>
        <v>1.0564014485993263</v>
      </c>
      <c r="H284">
        <f>2*SIN(A284*PI()*Dashboard!$C$3)*(COS(A284*PI()*Dashboard!$C$13)-COS(A284*PI()*Dashboard!$C$14))/(A284*PI())</f>
        <v>2.0148150995774912E-5</v>
      </c>
      <c r="I284">
        <f>SUM($H$2:H284)</f>
        <v>-2.7207682107599589E-2</v>
      </c>
    </row>
    <row r="285" spans="1:9">
      <c r="A285">
        <v>284</v>
      </c>
      <c r="B285">
        <f>2*SIN(A285*PI()*Dashboard!$C$3)*(COS(A285*PI()*Dashboard!$C$9)-COS(A285*PI()*Dashboard!$C$10))/(A285*PI())</f>
        <v>1.5214849347734386E-3</v>
      </c>
      <c r="C285">
        <f>SUM($B$2:B285)</f>
        <v>-2.8112025963672699E-2</v>
      </c>
      <c r="E285">
        <f>2*SIN(A285*PI()*Dashboard!$C$3)*(COS(A285*PI()*Dashboard!$C$11)-COS(A285*PI()*Dashboard!$C$12))/(A285*PI())</f>
        <v>2.0839813530486228E-3</v>
      </c>
      <c r="F285">
        <f>SUM($E$2:E285)</f>
        <v>1.0584854299523749</v>
      </c>
      <c r="H285">
        <f>2*SIN(A285*PI()*Dashboard!$C$3)*(COS(A285*PI()*Dashboard!$C$13)-COS(A285*PI()*Dashboard!$C$14))/(A285*PI())</f>
        <v>-3.6054662878220621E-3</v>
      </c>
      <c r="I285">
        <f>SUM($H$2:H285)</f>
        <v>-3.0813148395421652E-2</v>
      </c>
    </row>
    <row r="286" spans="1:9">
      <c r="A286">
        <v>285</v>
      </c>
      <c r="B286">
        <f>2*SIN(A286*PI()*Dashboard!$C$3)*(COS(A286*PI()*Dashboard!$C$9)-COS(A286*PI()*Dashboard!$C$10))/(A286*PI())</f>
        <v>0</v>
      </c>
      <c r="C286">
        <f>SUM($B$2:B286)</f>
        <v>-2.8112025963672699E-2</v>
      </c>
      <c r="E286">
        <f>2*SIN(A286*PI()*Dashboard!$C$3)*(COS(A286*PI()*Dashboard!$C$11)-COS(A286*PI()*Dashboard!$C$12))/(A286*PI())</f>
        <v>4.1802817411217398E-4</v>
      </c>
      <c r="F286">
        <f>SUM($E$2:E286)</f>
        <v>1.0589034581264871</v>
      </c>
      <c r="H286">
        <f>2*SIN(A286*PI()*Dashboard!$C$3)*(COS(A286*PI()*Dashboard!$C$13)-COS(A286*PI()*Dashboard!$C$14))/(A286*PI())</f>
        <v>1.6101776406335282E-3</v>
      </c>
      <c r="I286">
        <f>SUM($H$2:H286)</f>
        <v>-2.9202970754788123E-2</v>
      </c>
    </row>
    <row r="287" spans="1:9">
      <c r="A287">
        <v>286</v>
      </c>
      <c r="B287">
        <f>2*SIN(A287*PI()*Dashboard!$C$3)*(COS(A287*PI()*Dashboard!$C$9)-COS(A287*PI()*Dashboard!$C$10))/(A287*PI())</f>
        <v>-1.1212186010585105E-3</v>
      </c>
      <c r="C287">
        <f>SUM($B$2:B287)</f>
        <v>-2.9233244564731212E-2</v>
      </c>
      <c r="E287">
        <f>2*SIN(A287*PI()*Dashboard!$C$3)*(COS(A287*PI()*Dashboard!$C$11)-COS(A287*PI()*Dashboard!$C$12))/(A287*PI())</f>
        <v>1.0072709212851747E-3</v>
      </c>
      <c r="F287">
        <f>SUM($E$2:E287)</f>
        <v>1.0599107290477723</v>
      </c>
      <c r="H287">
        <f>2*SIN(A287*PI()*Dashboard!$C$3)*(COS(A287*PI()*Dashboard!$C$13)-COS(A287*PI()*Dashboard!$C$14))/(A287*PI())</f>
        <v>1.1394767977333567E-4</v>
      </c>
      <c r="I287">
        <f>SUM($H$2:H287)</f>
        <v>-2.9089023075014788E-2</v>
      </c>
    </row>
    <row r="288" spans="1:9">
      <c r="A288">
        <v>287</v>
      </c>
      <c r="B288">
        <f>2*SIN(A288*PI()*Dashboard!$C$3)*(COS(A288*PI()*Dashboard!$C$9)-COS(A288*PI()*Dashboard!$C$10))/(A288*PI())</f>
        <v>-3.4539327832972004E-3</v>
      </c>
      <c r="C288">
        <f>SUM($B$2:B288)</f>
        <v>-3.2687177348028409E-2</v>
      </c>
      <c r="E288">
        <f>2*SIN(A288*PI()*Dashboard!$C$3)*(COS(A288*PI()*Dashboard!$C$11)-COS(A288*PI()*Dashboard!$C$12))/(A288*PI())</f>
        <v>1.3053485745101203E-3</v>
      </c>
      <c r="F288">
        <f>SUM($E$2:E288)</f>
        <v>1.0612160776222823</v>
      </c>
      <c r="H288">
        <f>2*SIN(A288*PI()*Dashboard!$C$3)*(COS(A288*PI()*Dashboard!$C$13)-COS(A288*PI()*Dashboard!$C$14))/(A288*PI())</f>
        <v>-1.6699899605403107E-3</v>
      </c>
      <c r="I288">
        <f>SUM($H$2:H288)</f>
        <v>-3.0759013035555099E-2</v>
      </c>
    </row>
    <row r="289" spans="1:9">
      <c r="A289">
        <v>288</v>
      </c>
      <c r="B289">
        <f>2*SIN(A289*PI()*Dashboard!$C$3)*(COS(A289*PI()*Dashboard!$C$9)-COS(A289*PI()*Dashboard!$C$10))/(A289*PI())</f>
        <v>9.9446249132483476E-4</v>
      </c>
      <c r="C289">
        <f>SUM($B$2:B289)</f>
        <v>-3.1692714856703573E-2</v>
      </c>
      <c r="E289">
        <f>2*SIN(A289*PI()*Dashboard!$C$3)*(COS(A289*PI()*Dashboard!$C$11)-COS(A289*PI()*Dashboard!$C$12))/(A289*PI())</f>
        <v>1.0065345011411436E-4</v>
      </c>
      <c r="F289">
        <f>SUM($E$2:E289)</f>
        <v>1.0613167310723963</v>
      </c>
      <c r="H289">
        <f>2*SIN(A289*PI()*Dashboard!$C$3)*(COS(A289*PI()*Dashboard!$C$13)-COS(A289*PI()*Dashboard!$C$14))/(A289*PI())</f>
        <v>-1.0951159414389492E-3</v>
      </c>
      <c r="I289">
        <f>SUM($H$2:H289)</f>
        <v>-3.1854128976994051E-2</v>
      </c>
    </row>
    <row r="290" spans="1:9">
      <c r="A290">
        <v>289</v>
      </c>
      <c r="B290">
        <f>2*SIN(A290*PI()*Dashboard!$C$3)*(COS(A290*PI()*Dashboard!$C$9)-COS(A290*PI()*Dashboard!$C$10))/(A290*PI())</f>
        <v>1.5213715670966269E-3</v>
      </c>
      <c r="C290">
        <f>SUM($B$2:B290)</f>
        <v>-3.0171343289606946E-2</v>
      </c>
      <c r="E290">
        <f>2*SIN(A290*PI()*Dashboard!$C$3)*(COS(A290*PI()*Dashboard!$C$11)-COS(A290*PI()*Dashboard!$C$12))/(A290*PI())</f>
        <v>1.4908961410191204E-3</v>
      </c>
      <c r="F290">
        <f>SUM($E$2:E290)</f>
        <v>1.0628076272134155</v>
      </c>
      <c r="H290">
        <f>2*SIN(A290*PI()*Dashboard!$C$3)*(COS(A290*PI()*Dashboard!$C$13)-COS(A290*PI()*Dashboard!$C$14))/(A290*PI())</f>
        <v>1.3912315233024948E-3</v>
      </c>
      <c r="I290">
        <f>SUM($H$2:H290)</f>
        <v>-3.0462897453691556E-2</v>
      </c>
    </row>
    <row r="291" spans="1:9">
      <c r="A291">
        <v>290</v>
      </c>
      <c r="B291">
        <f>2*SIN(A291*PI()*Dashboard!$C$3)*(COS(A291*PI()*Dashboard!$C$9)-COS(A291*PI()*Dashboard!$C$10))/(A291*PI())</f>
        <v>0</v>
      </c>
      <c r="C291">
        <f>SUM($B$2:B291)</f>
        <v>-3.0171343289606946E-2</v>
      </c>
      <c r="E291">
        <f>2*SIN(A291*PI()*Dashboard!$C$3)*(COS(A291*PI()*Dashboard!$C$11)-COS(A291*PI()*Dashboard!$C$12))/(A291*PI())</f>
        <v>1.2955650180967158E-4</v>
      </c>
      <c r="F291">
        <f>SUM($E$2:E291)</f>
        <v>1.0629371837152251</v>
      </c>
      <c r="H291">
        <f>2*SIN(A291*PI()*Dashboard!$C$3)*(COS(A291*PI()*Dashboard!$C$13)-COS(A291*PI()*Dashboard!$C$14))/(A291*PI())</f>
        <v>-1.2955650180967158E-4</v>
      </c>
      <c r="I291">
        <f>SUM($H$2:H291)</f>
        <v>-3.0592453955501229E-2</v>
      </c>
    </row>
    <row r="292" spans="1:9">
      <c r="A292">
        <v>291</v>
      </c>
      <c r="B292">
        <f>2*SIN(A292*PI()*Dashboard!$C$3)*(COS(A292*PI()*Dashboard!$C$9)-COS(A292*PI()*Dashboard!$C$10))/(A292*PI())</f>
        <v>-1.2502657116050448E-3</v>
      </c>
      <c r="C292">
        <f>SUM($B$2:B292)</f>
        <v>-3.1421609001211992E-2</v>
      </c>
      <c r="E292">
        <f>2*SIN(A292*PI()*Dashboard!$C$3)*(COS(A292*PI()*Dashboard!$C$11)-COS(A292*PI()*Dashboard!$C$12))/(A292*PI())</f>
        <v>8.3503202063272826E-4</v>
      </c>
      <c r="F292">
        <f>SUM($E$2:E292)</f>
        <v>1.0637722157358578</v>
      </c>
      <c r="H292">
        <f>2*SIN(A292*PI()*Dashboard!$C$3)*(COS(A292*PI()*Dashboard!$C$13)-COS(A292*PI()*Dashboard!$C$14))/(A292*PI())</f>
        <v>-3.2035693806724322E-3</v>
      </c>
      <c r="I292">
        <f>SUM($H$2:H292)</f>
        <v>-3.379602333617366E-2</v>
      </c>
    </row>
    <row r="293" spans="1:9">
      <c r="A293">
        <v>292</v>
      </c>
      <c r="B293">
        <f>2*SIN(A293*PI()*Dashboard!$C$3)*(COS(A293*PI()*Dashboard!$C$9)-COS(A293*PI()*Dashboard!$C$10))/(A293*PI())</f>
        <v>-3.0389253055994152E-3</v>
      </c>
      <c r="C293">
        <f>SUM($B$2:B293)</f>
        <v>-3.4460534306811411E-2</v>
      </c>
      <c r="E293">
        <f>2*SIN(A293*PI()*Dashboard!$C$3)*(COS(A293*PI()*Dashboard!$C$11)-COS(A293*PI()*Dashboard!$C$12))/(A293*PI())</f>
        <v>6.4379204659219551E-4</v>
      </c>
      <c r="F293">
        <f>SUM($E$2:E293)</f>
        <v>1.06441600778245</v>
      </c>
      <c r="H293">
        <f>2*SIN(A293*PI()*Dashboard!$C$3)*(COS(A293*PI()*Dashboard!$C$13)-COS(A293*PI()*Dashboard!$C$14))/(A293*PI())</f>
        <v>2.3951332590072196E-3</v>
      </c>
      <c r="I293">
        <f>SUM($H$2:H293)</f>
        <v>-3.1400890077166441E-2</v>
      </c>
    </row>
    <row r="294" spans="1:9">
      <c r="A294">
        <v>293</v>
      </c>
      <c r="B294">
        <f>2*SIN(A294*PI()*Dashboard!$C$3)*(COS(A294*PI()*Dashboard!$C$9)-COS(A294*PI()*Dashboard!$C$10))/(A294*PI())</f>
        <v>1.561016198091086E-3</v>
      </c>
      <c r="C294">
        <f>SUM($B$2:B294)</f>
        <v>-3.2899518108720327E-2</v>
      </c>
      <c r="E294">
        <f>2*SIN(A294*PI()*Dashboard!$C$3)*(COS(A294*PI()*Dashboard!$C$11)-COS(A294*PI()*Dashboard!$C$12))/(A294*PI())</f>
        <v>1.4951638246436623E-4</v>
      </c>
      <c r="F294">
        <f>SUM($E$2:E294)</f>
        <v>1.0645655241649143</v>
      </c>
      <c r="H294">
        <f>2*SIN(A294*PI()*Dashboard!$C$3)*(COS(A294*PI()*Dashboard!$C$13)-COS(A294*PI()*Dashboard!$C$14))/(A294*PI())</f>
        <v>1.5284482462689545E-5</v>
      </c>
      <c r="I294">
        <f>SUM($H$2:H294)</f>
        <v>-3.1385605594703748E-2</v>
      </c>
    </row>
    <row r="295" spans="1:9">
      <c r="A295">
        <v>294</v>
      </c>
      <c r="B295">
        <f>2*SIN(A295*PI()*Dashboard!$C$3)*(COS(A295*PI()*Dashboard!$C$9)-COS(A295*PI()*Dashboard!$C$10))/(A295*PI())</f>
        <v>1.4844379338677857E-3</v>
      </c>
      <c r="C295">
        <f>SUM($B$2:B295)</f>
        <v>-3.141508017485254E-2</v>
      </c>
      <c r="E295">
        <f>2*SIN(A295*PI()*Dashboard!$C$3)*(COS(A295*PI()*Dashboard!$C$11)-COS(A295*PI()*Dashboard!$C$12))/(A295*PI())</f>
        <v>7.9875362091898618E-4</v>
      </c>
      <c r="F295">
        <f>SUM($E$2:E295)</f>
        <v>1.0653642777858334</v>
      </c>
      <c r="H295">
        <f>2*SIN(A295*PI()*Dashboard!$C$3)*(COS(A295*PI()*Dashboard!$C$13)-COS(A295*PI()*Dashboard!$C$14))/(A295*PI())</f>
        <v>-2.2831915547867716E-3</v>
      </c>
      <c r="I295">
        <f>SUM($H$2:H295)</f>
        <v>-3.3668797149490517E-2</v>
      </c>
    </row>
    <row r="296" spans="1:9">
      <c r="A296">
        <v>295</v>
      </c>
      <c r="B296">
        <f>2*SIN(A296*PI()*Dashboard!$C$3)*(COS(A296*PI()*Dashboard!$C$9)-COS(A296*PI()*Dashboard!$C$10))/(A296*PI())</f>
        <v>0</v>
      </c>
      <c r="C296">
        <f>SUM($B$2:B296)</f>
        <v>-3.141508017485254E-2</v>
      </c>
      <c r="E296">
        <f>2*SIN(A296*PI()*Dashboard!$C$3)*(COS(A296*PI()*Dashboard!$C$11)-COS(A296*PI()*Dashboard!$C$12))/(A296*PI())</f>
        <v>1.6522867748877323E-5</v>
      </c>
      <c r="F296">
        <f>SUM($E$2:E296)</f>
        <v>1.0653808006535823</v>
      </c>
      <c r="H296">
        <f>2*SIN(A296*PI()*Dashboard!$C$3)*(COS(A296*PI()*Dashboard!$C$13)-COS(A296*PI()*Dashboard!$C$14))/(A296*PI())</f>
        <v>6.5865864767068955E-4</v>
      </c>
      <c r="I296">
        <f>SUM($H$2:H296)</f>
        <v>-3.301013850181983E-2</v>
      </c>
    </row>
    <row r="297" spans="1:9">
      <c r="A297">
        <v>296</v>
      </c>
      <c r="B297">
        <f>2*SIN(A297*PI()*Dashboard!$C$3)*(COS(A297*PI()*Dashboard!$C$9)-COS(A297*PI()*Dashboard!$C$10))/(A297*PI())</f>
        <v>-1.3446874598250843E-3</v>
      </c>
      <c r="C297">
        <f>SUM($B$2:B297)</f>
        <v>-3.2759767634677625E-2</v>
      </c>
      <c r="E297">
        <f>2*SIN(A297*PI()*Dashboard!$C$3)*(COS(A297*PI()*Dashboard!$C$11)-COS(A297*PI()*Dashboard!$C$12))/(A297*PI())</f>
        <v>4.4138320646805565E-4</v>
      </c>
      <c r="F297">
        <f>SUM($E$2:E297)</f>
        <v>1.0658221838600503</v>
      </c>
      <c r="H297">
        <f>2*SIN(A297*PI()*Dashboard!$C$3)*(COS(A297*PI()*Dashboard!$C$13)-COS(A297*PI()*Dashboard!$C$14))/(A297*PI())</f>
        <v>9.0330425335702856E-4</v>
      </c>
      <c r="I297">
        <f>SUM($H$2:H297)</f>
        <v>-3.21068342484628E-2</v>
      </c>
    </row>
    <row r="298" spans="1:9">
      <c r="A298">
        <v>297</v>
      </c>
      <c r="B298">
        <f>2*SIN(A298*PI()*Dashboard!$C$3)*(COS(A298*PI()*Dashboard!$C$9)-COS(A298*PI()*Dashboard!$C$10))/(A298*PI())</f>
        <v>-2.5643224548326593E-3</v>
      </c>
      <c r="C298">
        <f>SUM($B$2:B298)</f>
        <v>-3.5324090089510284E-2</v>
      </c>
      <c r="E298">
        <f>2*SIN(A298*PI()*Dashboard!$C$3)*(COS(A298*PI()*Dashboard!$C$11)-COS(A298*PI()*Dashboard!$C$12))/(A298*PI())</f>
        <v>1.764388786206202E-4</v>
      </c>
      <c r="F298">
        <f>SUM($E$2:E298)</f>
        <v>1.0659986227386709</v>
      </c>
      <c r="H298">
        <f>2*SIN(A298*PI()*Dashboard!$C$3)*(COS(A298*PI()*Dashboard!$C$13)-COS(A298*PI()*Dashboard!$C$14))/(A298*PI())</f>
        <v>-4.4716160335935462E-4</v>
      </c>
      <c r="I298">
        <f>SUM($H$2:H298)</f>
        <v>-3.2553995851822157E-2</v>
      </c>
    </row>
    <row r="299" spans="1:9">
      <c r="A299">
        <v>298</v>
      </c>
      <c r="B299">
        <f>2*SIN(A299*PI()*Dashboard!$C$3)*(COS(A299*PI()*Dashboard!$C$9)-COS(A299*PI()*Dashboard!$C$10))/(A299*PI())</f>
        <v>2.070765558800809E-3</v>
      </c>
      <c r="C299">
        <f>SUM($B$2:B299)</f>
        <v>-3.3253324530709477E-2</v>
      </c>
      <c r="E299">
        <f>2*SIN(A299*PI()*Dashboard!$C$3)*(COS(A299*PI()*Dashboard!$C$11)-COS(A299*PI()*Dashboard!$C$12))/(A299*PI())</f>
        <v>7.7025900795261125E-5</v>
      </c>
      <c r="F299">
        <f>SUM($E$2:E299)</f>
        <v>1.066075648639466</v>
      </c>
      <c r="H299">
        <f>2*SIN(A299*PI()*Dashboard!$C$3)*(COS(A299*PI()*Dashboard!$C$13)-COS(A299*PI()*Dashboard!$C$14))/(A299*PI())</f>
        <v>-2.14779145959607E-3</v>
      </c>
      <c r="I299">
        <f>SUM($H$2:H299)</f>
        <v>-3.4701787311418229E-2</v>
      </c>
    </row>
    <row r="300" spans="1:9">
      <c r="A300">
        <v>299</v>
      </c>
      <c r="B300">
        <f>2*SIN(A300*PI()*Dashboard!$C$3)*(COS(A300*PI()*Dashboard!$C$9)-COS(A300*PI()*Dashboard!$C$10))/(A300*PI())</f>
        <v>1.4127989846310842E-3</v>
      </c>
      <c r="C300">
        <f>SUM($B$2:B300)</f>
        <v>-3.1840525546078392E-2</v>
      </c>
      <c r="E300">
        <f>2*SIN(A300*PI()*Dashboard!$C$3)*(COS(A300*PI()*Dashboard!$C$11)-COS(A300*PI()*Dashboard!$C$12))/(A300*PI())</f>
        <v>1.233461244607937E-4</v>
      </c>
      <c r="F300">
        <f>SUM($E$2:E300)</f>
        <v>1.0661989947639268</v>
      </c>
      <c r="H300">
        <f>2*SIN(A300*PI()*Dashboard!$C$3)*(COS(A300*PI()*Dashboard!$C$13)-COS(A300*PI()*Dashboard!$C$14))/(A300*PI())</f>
        <v>2.5530986874411224E-3</v>
      </c>
      <c r="I300">
        <f>SUM($H$2:H300)</f>
        <v>-3.2148688623977108E-2</v>
      </c>
    </row>
    <row r="301" spans="1:9">
      <c r="A301">
        <v>300</v>
      </c>
      <c r="B301">
        <f>2*SIN(A301*PI()*Dashboard!$C$3)*(COS(A301*PI()*Dashboard!$C$9)-COS(A301*PI()*Dashboard!$C$10))/(A301*PI())</f>
        <v>0</v>
      </c>
      <c r="C301">
        <f>SUM($B$2:B301)</f>
        <v>-3.1840525546078392E-2</v>
      </c>
      <c r="E301">
        <f>2*SIN(A301*PI()*Dashboard!$C$3)*(COS(A301*PI()*Dashboard!$C$11)-COS(A301*PI()*Dashboard!$C$12))/(A301*PI())</f>
        <v>0</v>
      </c>
      <c r="F301">
        <f>SUM($E$2:E301)</f>
        <v>1.0661989947639268</v>
      </c>
      <c r="H301">
        <f>2*SIN(A301*PI()*Dashboard!$C$3)*(COS(A301*PI()*Dashboard!$C$13)-COS(A301*PI()*Dashboard!$C$14))/(A301*PI())</f>
        <v>0</v>
      </c>
      <c r="I301">
        <f>SUM($H$2:H301)</f>
        <v>-3.2148688623977108E-2</v>
      </c>
    </row>
    <row r="302" spans="1:9">
      <c r="A302">
        <v>301</v>
      </c>
      <c r="B302">
        <f>2*SIN(A302*PI()*Dashboard!$C$3)*(COS(A302*PI()*Dashboard!$C$9)-COS(A302*PI()*Dashboard!$C$10))/(A302*PI())</f>
        <v>-1.4034116159622578E-3</v>
      </c>
      <c r="C302">
        <f>SUM($B$2:B302)</f>
        <v>-3.3243937162040653E-2</v>
      </c>
      <c r="E302">
        <f>2*SIN(A302*PI()*Dashboard!$C$3)*(COS(A302*PI()*Dashboard!$C$11)-COS(A302*PI()*Dashboard!$C$12))/(A302*PI())</f>
        <v>-1.2252654888305757E-4</v>
      </c>
      <c r="F302">
        <f>SUM($E$2:E302)</f>
        <v>1.0660764682150436</v>
      </c>
      <c r="H302">
        <f>2*SIN(A302*PI()*Dashboard!$C$3)*(COS(A302*PI()*Dashboard!$C$13)-COS(A302*PI()*Dashboard!$C$14))/(A302*PI())</f>
        <v>-2.5361345765611762E-3</v>
      </c>
      <c r="I302">
        <f>SUM($H$2:H302)</f>
        <v>-3.4684823200538284E-2</v>
      </c>
    </row>
    <row r="303" spans="1:9">
      <c r="A303">
        <v>302</v>
      </c>
      <c r="B303">
        <f>2*SIN(A303*PI()*Dashboard!$C$3)*(COS(A303*PI()*Dashboard!$C$9)-COS(A303*PI()*Dashboard!$C$10))/(A303*PI())</f>
        <v>-2.043338200406121E-3</v>
      </c>
      <c r="C303">
        <f>SUM($B$2:B303)</f>
        <v>-3.5287275362446774E-2</v>
      </c>
      <c r="E303">
        <f>2*SIN(A303*PI()*Dashboard!$C$3)*(COS(A303*PI()*Dashboard!$C$11)-COS(A303*PI()*Dashboard!$C$12))/(A303*PI())</f>
        <v>-7.6005690188776426E-5</v>
      </c>
      <c r="F303">
        <f>SUM($E$2:E303)</f>
        <v>1.0660004625248549</v>
      </c>
      <c r="H303">
        <f>2*SIN(A303*PI()*Dashboard!$C$3)*(COS(A303*PI()*Dashboard!$C$13)-COS(A303*PI()*Dashboard!$C$14))/(A303*PI())</f>
        <v>2.1193438905948974E-3</v>
      </c>
      <c r="I303">
        <f>SUM($H$2:H303)</f>
        <v>-3.2565479309943385E-2</v>
      </c>
    </row>
    <row r="304" spans="1:9">
      <c r="A304">
        <v>303</v>
      </c>
      <c r="B304">
        <f>2*SIN(A304*PI()*Dashboard!$C$3)*(COS(A304*PI()*Dashboard!$C$9)-COS(A304*PI()*Dashboard!$C$10))/(A304*PI())</f>
        <v>2.5135437923605743E-3</v>
      </c>
      <c r="C304">
        <f>SUM($B$2:B304)</f>
        <v>-3.2773731570086201E-2</v>
      </c>
      <c r="E304">
        <f>2*SIN(A304*PI()*Dashboard!$C$3)*(COS(A304*PI()*Dashboard!$C$11)-COS(A304*PI()*Dashboard!$C$12))/(A304*PI())</f>
        <v>-1.7294503944006667E-4</v>
      </c>
      <c r="F304">
        <f>SUM($E$2:E304)</f>
        <v>1.0658275174854148</v>
      </c>
      <c r="H304">
        <f>2*SIN(A304*PI()*Dashboard!$C$3)*(COS(A304*PI()*Dashboard!$C$13)-COS(A304*PI()*Dashboard!$C$14))/(A304*PI())</f>
        <v>4.3830691814422554E-4</v>
      </c>
      <c r="I304">
        <f>SUM($H$2:H304)</f>
        <v>-3.2127172391799158E-2</v>
      </c>
    </row>
    <row r="305" spans="1:9">
      <c r="A305">
        <v>304</v>
      </c>
      <c r="B305">
        <f>2*SIN(A305*PI()*Dashboard!$C$3)*(COS(A305*PI()*Dashboard!$C$9)-COS(A305*PI()*Dashboard!$C$10))/(A305*PI())</f>
        <v>1.3093009477246377E-3</v>
      </c>
      <c r="C305">
        <f>SUM($B$2:B305)</f>
        <v>-3.1464430622361567E-2</v>
      </c>
      <c r="E305">
        <f>2*SIN(A305*PI()*Dashboard!$C$3)*(COS(A305*PI()*Dashboard!$C$11)-COS(A305*PI()*Dashboard!$C$12))/(A305*PI())</f>
        <v>-4.297678589294341E-4</v>
      </c>
      <c r="F305">
        <f>SUM($E$2:E305)</f>
        <v>1.0653977496264855</v>
      </c>
      <c r="H305">
        <f>2*SIN(A305*PI()*Dashboard!$C$3)*(COS(A305*PI()*Dashboard!$C$13)-COS(A305*PI()*Dashboard!$C$14))/(A305*PI())</f>
        <v>-8.7953308879520366E-4</v>
      </c>
      <c r="I305">
        <f>SUM($H$2:H305)</f>
        <v>-3.300670548059436E-2</v>
      </c>
    </row>
    <row r="306" spans="1:9">
      <c r="A306">
        <v>305</v>
      </c>
      <c r="B306">
        <f>2*SIN(A306*PI()*Dashboard!$C$3)*(COS(A306*PI()*Dashboard!$C$9)-COS(A306*PI()*Dashboard!$C$10))/(A306*PI())</f>
        <v>0</v>
      </c>
      <c r="C306">
        <f>SUM($B$2:B306)</f>
        <v>-3.1464430622361567E-2</v>
      </c>
      <c r="E306">
        <f>2*SIN(A306*PI()*Dashboard!$C$3)*(COS(A306*PI()*Dashboard!$C$11)-COS(A306*PI()*Dashboard!$C$12))/(A306*PI())</f>
        <v>-1.5981134380047608E-5</v>
      </c>
      <c r="F306">
        <f>SUM($E$2:E306)</f>
        <v>1.0653817684921054</v>
      </c>
      <c r="H306">
        <f>2*SIN(A306*PI()*Dashboard!$C$3)*(COS(A306*PI()*Dashboard!$C$13)-COS(A306*PI()*Dashboard!$C$14))/(A306*PI())</f>
        <v>-6.370632821729161E-4</v>
      </c>
      <c r="I306">
        <f>SUM($H$2:H306)</f>
        <v>-3.3643768762767277E-2</v>
      </c>
    </row>
    <row r="307" spans="1:9">
      <c r="A307">
        <v>306</v>
      </c>
      <c r="B307">
        <f>2*SIN(A307*PI()*Dashboard!$C$3)*(COS(A307*PI()*Dashboard!$C$9)-COS(A307*PI()*Dashboard!$C$10))/(A307*PI())</f>
        <v>-1.4262246815590588E-3</v>
      </c>
      <c r="C307">
        <f>SUM($B$2:B307)</f>
        <v>-3.2890655303920623E-2</v>
      </c>
      <c r="E307">
        <f>2*SIN(A307*PI()*Dashboard!$C$3)*(COS(A307*PI()*Dashboard!$C$11)-COS(A307*PI()*Dashboard!$C$12))/(A307*PI())</f>
        <v>-7.6742994951058293E-4</v>
      </c>
      <c r="F307">
        <f>SUM($E$2:E307)</f>
        <v>1.0646143385425948</v>
      </c>
      <c r="H307">
        <f>2*SIN(A307*PI()*Dashboard!$C$3)*(COS(A307*PI()*Dashboard!$C$13)-COS(A307*PI()*Dashboard!$C$14))/(A307*PI())</f>
        <v>2.1936546310696416E-3</v>
      </c>
      <c r="I307">
        <f>SUM($H$2:H307)</f>
        <v>-3.1450114131697633E-2</v>
      </c>
    </row>
    <row r="308" spans="1:9">
      <c r="A308">
        <v>307</v>
      </c>
      <c r="B308">
        <f>2*SIN(A308*PI()*Dashboard!$C$3)*(COS(A308*PI()*Dashboard!$C$9)-COS(A308*PI()*Dashboard!$C$10))/(A308*PI())</f>
        <v>-1.4898297916635381E-3</v>
      </c>
      <c r="C308">
        <f>SUM($B$2:B308)</f>
        <v>-3.4380485095584161E-2</v>
      </c>
      <c r="E308">
        <f>2*SIN(A308*PI()*Dashboard!$C$3)*(COS(A308*PI()*Dashboard!$C$11)-COS(A308*PI()*Dashboard!$C$12))/(A308*PI())</f>
        <v>-1.4269804580482808E-4</v>
      </c>
      <c r="F308">
        <f>SUM($E$2:E308)</f>
        <v>1.06447164049679</v>
      </c>
      <c r="H308">
        <f>2*SIN(A308*PI()*Dashboard!$C$3)*(COS(A308*PI()*Dashboard!$C$13)-COS(A308*PI()*Dashboard!$C$14))/(A308*PI())</f>
        <v>-1.4587470233128844E-5</v>
      </c>
      <c r="I308">
        <f>SUM($H$2:H308)</f>
        <v>-3.146470160193076E-2</v>
      </c>
    </row>
    <row r="309" spans="1:9">
      <c r="A309">
        <v>308</v>
      </c>
      <c r="B309">
        <f>2*SIN(A309*PI()*Dashboard!$C$3)*(COS(A309*PI()*Dashboard!$C$9)-COS(A309*PI()*Dashboard!$C$10))/(A309*PI())</f>
        <v>2.8810590559578786E-3</v>
      </c>
      <c r="C309">
        <f>SUM($B$2:B309)</f>
        <v>-3.1499426039626285E-2</v>
      </c>
      <c r="E309">
        <f>2*SIN(A309*PI()*Dashboard!$C$3)*(COS(A309*PI()*Dashboard!$C$11)-COS(A309*PI()*Dashboard!$C$12))/(A309*PI())</f>
        <v>-6.1034830391207826E-4</v>
      </c>
      <c r="F309">
        <f>SUM($E$2:E309)</f>
        <v>1.0638612921928778</v>
      </c>
      <c r="H309">
        <f>2*SIN(A309*PI()*Dashboard!$C$3)*(COS(A309*PI()*Dashboard!$C$13)-COS(A309*PI()*Dashboard!$C$14))/(A309*PI())</f>
        <v>-2.2707107520458006E-3</v>
      </c>
      <c r="I309">
        <f>SUM($H$2:H309)</f>
        <v>-3.3735412353976563E-2</v>
      </c>
    </row>
    <row r="310" spans="1:9">
      <c r="A310">
        <v>309</v>
      </c>
      <c r="B310">
        <f>2*SIN(A310*PI()*Dashboard!$C$3)*(COS(A310*PI()*Dashboard!$C$9)-COS(A310*PI()*Dashboard!$C$10))/(A310*PI())</f>
        <v>1.1774346992787068E-3</v>
      </c>
      <c r="C310">
        <f>SUM($B$2:B310)</f>
        <v>-3.032199134034758E-2</v>
      </c>
      <c r="E310">
        <f>2*SIN(A310*PI()*Dashboard!$C$3)*(COS(A310*PI()*Dashboard!$C$11)-COS(A310*PI()*Dashboard!$C$12))/(A310*PI())</f>
        <v>-7.8638937865417168E-4</v>
      </c>
      <c r="F310">
        <f>SUM($E$2:E310)</f>
        <v>1.0630749028142237</v>
      </c>
      <c r="H310">
        <f>2*SIN(A310*PI()*Dashboard!$C$3)*(COS(A310*PI()*Dashboard!$C$13)-COS(A310*PI()*Dashboard!$C$14))/(A310*PI())</f>
        <v>3.0169536885943917E-3</v>
      </c>
      <c r="I310">
        <f>SUM($H$2:H310)</f>
        <v>-3.071845866538217E-2</v>
      </c>
    </row>
    <row r="311" spans="1:9">
      <c r="A311">
        <v>310</v>
      </c>
      <c r="B311">
        <f>2*SIN(A311*PI()*Dashboard!$C$3)*(COS(A311*PI()*Dashboard!$C$9)-COS(A311*PI()*Dashboard!$C$10))/(A311*PI())</f>
        <v>0</v>
      </c>
      <c r="C311">
        <f>SUM($B$2:B311)</f>
        <v>-3.032199134034758E-2</v>
      </c>
      <c r="E311">
        <f>2*SIN(A311*PI()*Dashboard!$C$3)*(COS(A311*PI()*Dashboard!$C$11)-COS(A311*PI()*Dashboard!$C$12))/(A311*PI())</f>
        <v>-1.2119801782189891E-4</v>
      </c>
      <c r="F311">
        <f>SUM($E$2:E311)</f>
        <v>1.0629537047964017</v>
      </c>
      <c r="H311">
        <f>2*SIN(A311*PI()*Dashboard!$C$3)*(COS(A311*PI()*Dashboard!$C$13)-COS(A311*PI()*Dashboard!$C$14))/(A311*PI())</f>
        <v>1.2119801782189891E-4</v>
      </c>
      <c r="I311">
        <f>SUM($H$2:H311)</f>
        <v>-3.059726064756027E-2</v>
      </c>
    </row>
    <row r="312" spans="1:9">
      <c r="A312">
        <v>311</v>
      </c>
      <c r="B312">
        <f>2*SIN(A312*PI()*Dashboard!$C$3)*(COS(A312*PI()*Dashboard!$C$9)-COS(A312*PI()*Dashboard!$C$10))/(A312*PI())</f>
        <v>-1.4137504273017334E-3</v>
      </c>
      <c r="C312">
        <f>SUM($B$2:B312)</f>
        <v>-3.173574176764931E-2</v>
      </c>
      <c r="E312">
        <f>2*SIN(A312*PI()*Dashboard!$C$3)*(COS(A312*PI()*Dashboard!$C$11)-COS(A312*PI()*Dashboard!$C$12))/(A312*PI())</f>
        <v>-1.3854308191465793E-3</v>
      </c>
      <c r="F312">
        <f>SUM($E$2:E312)</f>
        <v>1.0615682739772552</v>
      </c>
      <c r="H312">
        <f>2*SIN(A312*PI()*Dashboard!$C$3)*(COS(A312*PI()*Dashboard!$C$13)-COS(A312*PI()*Dashboard!$C$14))/(A312*PI())</f>
        <v>-1.2928164316220198E-3</v>
      </c>
      <c r="I312">
        <f>SUM($H$2:H312)</f>
        <v>-3.1890077079182289E-2</v>
      </c>
    </row>
    <row r="313" spans="1:9">
      <c r="A313">
        <v>312</v>
      </c>
      <c r="B313">
        <f>2*SIN(A313*PI()*Dashboard!$C$3)*(COS(A313*PI()*Dashboard!$C$9)-COS(A313*PI()*Dashboard!$C$10))/(A313*PI())</f>
        <v>-9.1796537660763025E-4</v>
      </c>
      <c r="C313">
        <f>SUM($B$2:B313)</f>
        <v>-3.2653707144256944E-2</v>
      </c>
      <c r="E313">
        <f>2*SIN(A313*PI()*Dashboard!$C$3)*(COS(A313*PI()*Dashboard!$C$11)-COS(A313*PI()*Dashboard!$C$12))/(A313*PI())</f>
        <v>-9.2910877028472256E-5</v>
      </c>
      <c r="F313">
        <f>SUM($E$2:E313)</f>
        <v>1.0614753631002267</v>
      </c>
      <c r="H313">
        <f>2*SIN(A313*PI()*Dashboard!$C$3)*(COS(A313*PI()*Dashboard!$C$13)-COS(A313*PI()*Dashboard!$C$14))/(A313*PI())</f>
        <v>1.0108762536361025E-3</v>
      </c>
      <c r="I313">
        <f>SUM($H$2:H313)</f>
        <v>-3.0879200825546186E-2</v>
      </c>
    </row>
    <row r="314" spans="1:9">
      <c r="A314">
        <v>313</v>
      </c>
      <c r="B314">
        <f>2*SIN(A314*PI()*Dashboard!$C$3)*(COS(A314*PI()*Dashboard!$C$9)-COS(A314*PI()*Dashboard!$C$10))/(A314*PI())</f>
        <v>3.1670246287740229E-3</v>
      </c>
      <c r="C314">
        <f>SUM($B$2:B314)</f>
        <v>-2.948668251548292E-2</v>
      </c>
      <c r="E314">
        <f>2*SIN(A314*PI()*Dashboard!$C$3)*(COS(A314*PI()*Dashboard!$C$11)-COS(A314*PI()*Dashboard!$C$12))/(A314*PI())</f>
        <v>-1.196917063528294E-3</v>
      </c>
      <c r="F314">
        <f>SUM($E$2:E314)</f>
        <v>1.0602784460366985</v>
      </c>
      <c r="H314">
        <f>2*SIN(A314*PI()*Dashboard!$C$3)*(COS(A314*PI()*Dashboard!$C$13)-COS(A314*PI()*Dashboard!$C$14))/(A314*PI())</f>
        <v>1.5312687497603425E-3</v>
      </c>
      <c r="I314">
        <f>SUM($H$2:H314)</f>
        <v>-2.9347932075785843E-2</v>
      </c>
    </row>
    <row r="315" spans="1:9">
      <c r="A315">
        <v>314</v>
      </c>
      <c r="B315">
        <f>2*SIN(A315*PI()*Dashboard!$C$3)*(COS(A315*PI()*Dashboard!$C$9)-COS(A315*PI()*Dashboard!$C$10))/(A315*PI())</f>
        <v>1.0212373245312117E-3</v>
      </c>
      <c r="C315">
        <f>SUM($B$2:B315)</f>
        <v>-2.8465445190951708E-2</v>
      </c>
      <c r="E315">
        <f>2*SIN(A315*PI()*Dashboard!$C$3)*(COS(A315*PI()*Dashboard!$C$11)-COS(A315*PI()*Dashboard!$C$12))/(A315*PI())</f>
        <v>-9.174505843554335E-4</v>
      </c>
      <c r="F315">
        <f>SUM($E$2:E315)</f>
        <v>1.0593609954523431</v>
      </c>
      <c r="H315">
        <f>2*SIN(A315*PI()*Dashboard!$C$3)*(COS(A315*PI()*Dashboard!$C$13)-COS(A315*PI()*Dashboard!$C$14))/(A315*PI())</f>
        <v>-1.0378674017577802E-4</v>
      </c>
      <c r="I315">
        <f>SUM($H$2:H315)</f>
        <v>-2.9451718815961619E-2</v>
      </c>
    </row>
    <row r="316" spans="1:9">
      <c r="A316">
        <v>315</v>
      </c>
      <c r="B316">
        <f>2*SIN(A316*PI()*Dashboard!$C$3)*(COS(A316*PI()*Dashboard!$C$9)-COS(A316*PI()*Dashboard!$C$10))/(A316*PI())</f>
        <v>0</v>
      </c>
      <c r="C316">
        <f>SUM($B$2:B316)</f>
        <v>-2.8465445190951708E-2</v>
      </c>
      <c r="E316">
        <f>2*SIN(A316*PI()*Dashboard!$C$3)*(COS(A316*PI()*Dashboard!$C$11)-COS(A316*PI()*Dashboard!$C$12))/(A316*PI())</f>
        <v>-3.7821596705381062E-4</v>
      </c>
      <c r="F316">
        <f>SUM($E$2:E316)</f>
        <v>1.0589827794852893</v>
      </c>
      <c r="H316">
        <f>2*SIN(A316*PI()*Dashboard!$C$3)*(COS(A316*PI()*Dashboard!$C$13)-COS(A316*PI()*Dashboard!$C$14))/(A316*PI())</f>
        <v>-1.4568273891443428E-3</v>
      </c>
      <c r="I316">
        <f>SUM($H$2:H316)</f>
        <v>-3.0908546205105962E-2</v>
      </c>
    </row>
    <row r="317" spans="1:9">
      <c r="A317">
        <v>316</v>
      </c>
      <c r="B317">
        <f>2*SIN(A317*PI()*Dashboard!$C$3)*(COS(A317*PI()*Dashboard!$C$9)-COS(A317*PI()*Dashboard!$C$10))/(A317*PI())</f>
        <v>-1.3674105109987755E-3</v>
      </c>
      <c r="C317">
        <f>SUM($B$2:B317)</f>
        <v>-2.9832855701950482E-2</v>
      </c>
      <c r="E317">
        <f>2*SIN(A317*PI()*Dashboard!$C$3)*(COS(A317*PI()*Dashboard!$C$11)-COS(A317*PI()*Dashboard!$C$12))/(A317*PI())</f>
        <v>-1.8729452666641662E-3</v>
      </c>
      <c r="F317">
        <f>SUM($E$2:E317)</f>
        <v>1.0571098342186251</v>
      </c>
      <c r="H317">
        <f>2*SIN(A317*PI()*Dashboard!$C$3)*(COS(A317*PI()*Dashboard!$C$13)-COS(A317*PI()*Dashboard!$C$14))/(A317*PI())</f>
        <v>3.2403557776629417E-3</v>
      </c>
      <c r="I317">
        <f>SUM($H$2:H317)</f>
        <v>-2.7668190427443021E-2</v>
      </c>
    </row>
    <row r="318" spans="1:9">
      <c r="A318">
        <v>317</v>
      </c>
      <c r="B318">
        <f>2*SIN(A318*PI()*Dashboard!$C$3)*(COS(A318*PI()*Dashboard!$C$9)-COS(A318*PI()*Dashboard!$C$10))/(A318*PI())</f>
        <v>-3.418940141184644E-4</v>
      </c>
      <c r="C318">
        <f>SUM($B$2:B318)</f>
        <v>-3.0174749716068948E-2</v>
      </c>
      <c r="E318">
        <f>2*SIN(A318*PI()*Dashboard!$C$3)*(COS(A318*PI()*Dashboard!$C$11)-COS(A318*PI()*Dashboard!$C$12))/(A318*PI())</f>
        <v>-1.8107560877286623E-5</v>
      </c>
      <c r="F318">
        <f>SUM($E$2:E318)</f>
        <v>1.0570917266577478</v>
      </c>
      <c r="H318">
        <f>2*SIN(A318*PI()*Dashboard!$C$3)*(COS(A318*PI()*Dashboard!$C$13)-COS(A318*PI()*Dashboard!$C$14))/(A318*PI())</f>
        <v>-1.7987150573518598E-5</v>
      </c>
      <c r="I318">
        <f>SUM($H$2:H318)</f>
        <v>-2.768617757801654E-2</v>
      </c>
    </row>
    <row r="319" spans="1:9">
      <c r="A319">
        <v>318</v>
      </c>
      <c r="B319">
        <f>2*SIN(A319*PI()*Dashboard!$C$3)*(COS(A319*PI()*Dashboard!$C$9)-COS(A319*PI()*Dashboard!$C$10))/(A319*PI())</f>
        <v>3.3672410588091099E-3</v>
      </c>
      <c r="C319">
        <f>SUM($B$2:B319)</f>
        <v>-2.6807508657259838E-2</v>
      </c>
      <c r="E319">
        <f>2*SIN(A319*PI()*Dashboard!$C$3)*(COS(A319*PI()*Dashboard!$C$11)-COS(A319*PI()*Dashboard!$C$12))/(A319*PI())</f>
        <v>-1.8546610160616566E-3</v>
      </c>
      <c r="F319">
        <f>SUM($E$2:E319)</f>
        <v>1.0552370656416861</v>
      </c>
      <c r="H319">
        <f>2*SIN(A319*PI()*Dashboard!$C$3)*(COS(A319*PI()*Dashboard!$C$13)-COS(A319*PI()*Dashboard!$C$14))/(A319*PI())</f>
        <v>-1.5125800427474535E-3</v>
      </c>
      <c r="I319">
        <f>SUM($H$2:H319)</f>
        <v>-2.9198757620763995E-2</v>
      </c>
    </row>
    <row r="320" spans="1:9">
      <c r="A320">
        <v>319</v>
      </c>
      <c r="B320">
        <f>2*SIN(A320*PI()*Dashboard!$C$3)*(COS(A320*PI()*Dashboard!$C$9)-COS(A320*PI()*Dashboard!$C$10))/(A320*PI())</f>
        <v>8.4518430887344919E-4</v>
      </c>
      <c r="C320">
        <f>SUM($B$2:B320)</f>
        <v>-2.5962324348386388E-2</v>
      </c>
      <c r="E320">
        <f>2*SIN(A320*PI()*Dashboard!$C$3)*(COS(A320*PI()*Dashboard!$C$11)-COS(A320*PI()*Dashboard!$C$12))/(A320*PI())</f>
        <v>-8.427706776321641E-4</v>
      </c>
      <c r="F320">
        <f>SUM($E$2:E320)</f>
        <v>1.0543942949640539</v>
      </c>
      <c r="H320">
        <f>2*SIN(A320*PI()*Dashboard!$C$3)*(COS(A320*PI()*Dashboard!$C$13)-COS(A320*PI()*Dashboard!$C$14))/(A320*PI())</f>
        <v>2.4439108137684212E-3</v>
      </c>
      <c r="I320">
        <f>SUM($H$2:H320)</f>
        <v>-2.6754846806995573E-2</v>
      </c>
    </row>
    <row r="321" spans="1:9">
      <c r="A321">
        <v>320</v>
      </c>
      <c r="B321">
        <f>2*SIN(A321*PI()*Dashboard!$C$3)*(COS(A321*PI()*Dashboard!$C$9)-COS(A321*PI()*Dashboard!$C$10))/(A321*PI())</f>
        <v>0</v>
      </c>
      <c r="C321">
        <f>SUM($B$2:B321)</f>
        <v>-2.5962324348386388E-2</v>
      </c>
      <c r="E321">
        <f>2*SIN(A321*PI()*Dashboard!$C$3)*(COS(A321*PI()*Dashboard!$C$11)-COS(A321*PI()*Dashboard!$C$12))/(A321*PI())</f>
        <v>-8.0800899630284083E-4</v>
      </c>
      <c r="F321">
        <f>SUM($E$2:E321)</f>
        <v>1.0535862859677512</v>
      </c>
      <c r="H321">
        <f>2*SIN(A321*PI()*Dashboard!$C$3)*(COS(A321*PI()*Dashboard!$C$13)-COS(A321*PI()*Dashboard!$C$14))/(A321*PI())</f>
        <v>8.0800899630284083E-4</v>
      </c>
      <c r="I321">
        <f>SUM($H$2:H321)</f>
        <v>-2.5946837810692732E-2</v>
      </c>
    </row>
    <row r="322" spans="1:9">
      <c r="A322">
        <v>321</v>
      </c>
      <c r="B322">
        <f>2*SIN(A322*PI()*Dashboard!$C$3)*(COS(A322*PI()*Dashboard!$C$9)-COS(A322*PI()*Dashboard!$C$10))/(A322*PI())</f>
        <v>-1.2893684785489842E-3</v>
      </c>
      <c r="C322">
        <f>SUM($B$2:B322)</f>
        <v>-2.7251692826935372E-2</v>
      </c>
      <c r="E322">
        <f>2*SIN(A322*PI()*Dashboard!$C$3)*(COS(A322*PI()*Dashboard!$C$11)-COS(A322*PI()*Dashboard!$C$12))/(A322*PI())</f>
        <v>-2.1521319228957792E-3</v>
      </c>
      <c r="F322">
        <f>SUM($E$2:E322)</f>
        <v>1.0514341540448553</v>
      </c>
      <c r="H322">
        <f>2*SIN(A322*PI()*Dashboard!$C$3)*(COS(A322*PI()*Dashboard!$C$13)-COS(A322*PI()*Dashboard!$C$14))/(A322*PI())</f>
        <v>-2.9048278208594424E-4</v>
      </c>
      <c r="I322">
        <f>SUM($H$2:H322)</f>
        <v>-2.6237320592778675E-2</v>
      </c>
    </row>
    <row r="323" spans="1:9">
      <c r="A323">
        <v>322</v>
      </c>
      <c r="B323">
        <f>2*SIN(A323*PI()*Dashboard!$C$3)*(COS(A323*PI()*Dashboard!$C$9)-COS(A323*PI()*Dashboard!$C$10))/(A323*PI())</f>
        <v>2.2457477563134928E-4</v>
      </c>
      <c r="C323">
        <f>SUM($B$2:B323)</f>
        <v>-2.7027118051304023E-2</v>
      </c>
      <c r="E323">
        <f>2*SIN(A323*PI()*Dashboard!$C$3)*(COS(A323*PI()*Dashboard!$C$11)-COS(A323*PI()*Dashboard!$C$12))/(A323*PI())</f>
        <v>-9.9373549856794674E-6</v>
      </c>
      <c r="F323">
        <f>SUM($E$2:E323)</f>
        <v>1.0514242166898695</v>
      </c>
      <c r="H323">
        <f>2*SIN(A323*PI()*Dashboard!$C$3)*(COS(A323*PI()*Dashboard!$C$13)-COS(A323*PI()*Dashboard!$C$14))/(A323*PI())</f>
        <v>-2.146374206456698E-4</v>
      </c>
      <c r="I323">
        <f>SUM($H$2:H323)</f>
        <v>-2.6451958013424346E-2</v>
      </c>
    </row>
    <row r="324" spans="1:9">
      <c r="A324">
        <v>323</v>
      </c>
      <c r="B324">
        <f>2*SIN(A324*PI()*Dashboard!$C$3)*(COS(A324*PI()*Dashboard!$C$9)-COS(A324*PI()*Dashboard!$C$10))/(A324*PI())</f>
        <v>3.4796296652149861E-3</v>
      </c>
      <c r="C324">
        <f>SUM($B$2:B324)</f>
        <v>-2.3547488386089038E-2</v>
      </c>
      <c r="E324">
        <f>2*SIN(A324*PI()*Dashboard!$C$3)*(COS(A324*PI()*Dashboard!$C$11)-COS(A324*PI()*Dashboard!$C$12))/(A324*PI())</f>
        <v>-2.4827870180249242E-3</v>
      </c>
      <c r="F324">
        <f>SUM($E$2:E324)</f>
        <v>1.0489414296718447</v>
      </c>
      <c r="H324">
        <f>2*SIN(A324*PI()*Dashboard!$C$3)*(COS(A324*PI()*Dashboard!$C$13)-COS(A324*PI()*Dashboard!$C$14))/(A324*PI())</f>
        <v>2.8501412960616284E-3</v>
      </c>
      <c r="I324">
        <f>SUM($H$2:H324)</f>
        <v>-2.3601816717362719E-2</v>
      </c>
    </row>
    <row r="325" spans="1:9">
      <c r="A325">
        <v>324</v>
      </c>
      <c r="B325">
        <f>2*SIN(A325*PI()*Dashboard!$C$3)*(COS(A325*PI()*Dashboard!$C$9)-COS(A325*PI()*Dashboard!$C$10))/(A325*PI())</f>
        <v>6.540749467292417E-4</v>
      </c>
      <c r="C325">
        <f>SUM($B$2:B325)</f>
        <v>-2.2893413439359796E-2</v>
      </c>
      <c r="E325">
        <f>2*SIN(A325*PI()*Dashboard!$C$3)*(COS(A325*PI()*Dashboard!$C$11)-COS(A325*PI()*Dashboard!$C$12))/(A325*PI())</f>
        <v>-6.2433620200773147E-4</v>
      </c>
      <c r="F325">
        <f>SUM($E$2:E325)</f>
        <v>1.0483170934698369</v>
      </c>
      <c r="H325">
        <f>2*SIN(A325*PI()*Dashboard!$C$3)*(COS(A325*PI()*Dashboard!$C$13)-COS(A325*PI()*Dashboard!$C$14))/(A325*PI())</f>
        <v>-2.9738744721510139E-5</v>
      </c>
      <c r="I325">
        <f>SUM($H$2:H325)</f>
        <v>-2.3631555462084231E-2</v>
      </c>
    </row>
    <row r="326" spans="1:9">
      <c r="A326">
        <v>325</v>
      </c>
      <c r="B326">
        <f>2*SIN(A326*PI()*Dashboard!$C$3)*(COS(A326*PI()*Dashboard!$C$9)-COS(A326*PI()*Dashboard!$C$10))/(A326*PI())</f>
        <v>0</v>
      </c>
      <c r="C326">
        <f>SUM($B$2:B326)</f>
        <v>-2.2893413439359796E-2</v>
      </c>
      <c r="E326">
        <f>2*SIN(A326*PI()*Dashboard!$C$3)*(COS(A326*PI()*Dashboard!$C$11)-COS(A326*PI()*Dashboard!$C$12))/(A326*PI())</f>
        <v>-1.3851020248569555E-3</v>
      </c>
      <c r="F326">
        <f>SUM($E$2:E326)</f>
        <v>1.0469319914449799</v>
      </c>
      <c r="H326">
        <f>2*SIN(A326*PI()*Dashboard!$C$3)*(COS(A326*PI()*Dashboard!$C$13)-COS(A326*PI()*Dashboard!$C$14))/(A326*PI())</f>
        <v>-1.3851020248570954E-3</v>
      </c>
      <c r="I326">
        <f>SUM($H$2:H326)</f>
        <v>-2.5016657486941325E-2</v>
      </c>
    </row>
    <row r="327" spans="1:9">
      <c r="A327">
        <v>326</v>
      </c>
      <c r="B327">
        <f>2*SIN(A327*PI()*Dashboard!$C$3)*(COS(A327*PI()*Dashboard!$C$9)-COS(A327*PI()*Dashboard!$C$10))/(A327*PI())</f>
        <v>-1.182458783025666E-3</v>
      </c>
      <c r="C327">
        <f>SUM($B$2:B327)</f>
        <v>-2.4075872222385462E-2</v>
      </c>
      <c r="E327">
        <f>2*SIN(A327*PI()*Dashboard!$C$3)*(COS(A327*PI()*Dashboard!$C$11)-COS(A327*PI()*Dashboard!$C$12))/(A327*PI())</f>
        <v>-2.1863193635331991E-3</v>
      </c>
      <c r="F327">
        <f>SUM($E$2:E327)</f>
        <v>1.0447456720814468</v>
      </c>
      <c r="H327">
        <f>2*SIN(A327*PI()*Dashboard!$C$3)*(COS(A327*PI()*Dashboard!$C$13)-COS(A327*PI()*Dashboard!$C$14))/(A327*PI())</f>
        <v>3.3687781465588655E-3</v>
      </c>
      <c r="I327">
        <f>SUM($H$2:H327)</f>
        <v>-2.164787934038246E-2</v>
      </c>
    </row>
    <row r="328" spans="1:9">
      <c r="A328">
        <v>327</v>
      </c>
      <c r="B328">
        <f>2*SIN(A328*PI()*Dashboard!$C$3)*(COS(A328*PI()*Dashboard!$C$9)-COS(A328*PI()*Dashboard!$C$10))/(A328*PI())</f>
        <v>7.6827513765925673E-4</v>
      </c>
      <c r="C328">
        <f>SUM($B$2:B328)</f>
        <v>-2.3307597084726205E-2</v>
      </c>
      <c r="E328">
        <f>2*SIN(A328*PI()*Dashboard!$C$3)*(COS(A328*PI()*Dashboard!$C$11)-COS(A328*PI()*Dashboard!$C$12))/(A328*PI())</f>
        <v>-1.3898613070828985E-4</v>
      </c>
      <c r="F328">
        <f>SUM($E$2:E328)</f>
        <v>1.0446066859507384</v>
      </c>
      <c r="H328">
        <f>2*SIN(A328*PI()*Dashboard!$C$3)*(COS(A328*PI()*Dashboard!$C$13)-COS(A328*PI()*Dashboard!$C$14))/(A328*PI())</f>
        <v>2.2009509507591032E-4</v>
      </c>
      <c r="I328">
        <f>SUM($H$2:H328)</f>
        <v>-2.1427784245306551E-2</v>
      </c>
    </row>
    <row r="329" spans="1:9">
      <c r="A329">
        <v>328</v>
      </c>
      <c r="B329">
        <f>2*SIN(A329*PI()*Dashboard!$C$3)*(COS(A329*PI()*Dashboard!$C$9)-COS(A329*PI()*Dashboard!$C$10))/(A329*PI())</f>
        <v>3.5042178571591423E-3</v>
      </c>
      <c r="C329">
        <f>SUM($B$2:B329)</f>
        <v>-1.9803379227567062E-2</v>
      </c>
      <c r="E329">
        <f>2*SIN(A329*PI()*Dashboard!$C$3)*(COS(A329*PI()*Dashboard!$C$11)-COS(A329*PI()*Dashboard!$C$12))/(A329*PI())</f>
        <v>-2.9792073245917053E-3</v>
      </c>
      <c r="F329">
        <f>SUM($E$2:E329)</f>
        <v>1.0416274786261466</v>
      </c>
      <c r="H329">
        <f>2*SIN(A329*PI()*Dashboard!$C$3)*(COS(A329*PI()*Dashboard!$C$13)-COS(A329*PI()*Dashboard!$C$14))/(A329*PI())</f>
        <v>-5.25010532567437E-4</v>
      </c>
      <c r="I329">
        <f>SUM($H$2:H329)</f>
        <v>-2.1952794777873989E-2</v>
      </c>
    </row>
    <row r="330" spans="1:9">
      <c r="A330">
        <v>329</v>
      </c>
      <c r="B330">
        <f>2*SIN(A330*PI()*Dashboard!$C$3)*(COS(A330*PI()*Dashboard!$C$9)-COS(A330*PI()*Dashboard!$C$10))/(A330*PI())</f>
        <v>4.5291364822411018E-4</v>
      </c>
      <c r="C330">
        <f>SUM($B$2:B330)</f>
        <v>-1.9350465579342953E-2</v>
      </c>
      <c r="E330">
        <f>2*SIN(A330*PI()*Dashboard!$C$3)*(COS(A330*PI()*Dashboard!$C$11)-COS(A330*PI()*Dashboard!$C$12))/(A330*PI())</f>
        <v>-3.5087639605795815E-4</v>
      </c>
      <c r="F330">
        <f>SUM($E$2:E330)</f>
        <v>1.0412766022300886</v>
      </c>
      <c r="H330">
        <f>2*SIN(A330*PI()*Dashboard!$C$3)*(COS(A330*PI()*Dashboard!$C$13)-COS(A330*PI()*Dashboard!$C$14))/(A330*PI())</f>
        <v>1.2088883264285645E-3</v>
      </c>
      <c r="I330">
        <f>SUM($H$2:H330)</f>
        <v>-2.0743906451445426E-2</v>
      </c>
    </row>
    <row r="331" spans="1:9">
      <c r="A331">
        <v>330</v>
      </c>
      <c r="B331">
        <f>2*SIN(A331*PI()*Dashboard!$C$3)*(COS(A331*PI()*Dashboard!$C$9)-COS(A331*PI()*Dashboard!$C$10))/(A331*PI())</f>
        <v>0</v>
      </c>
      <c r="C331">
        <f>SUM($B$2:B331)</f>
        <v>-1.9350465579342953E-2</v>
      </c>
      <c r="E331">
        <f>2*SIN(A331*PI()*Dashboard!$C$3)*(COS(A331*PI()*Dashboard!$C$11)-COS(A331*PI()*Dashboard!$C$12))/(A331*PI())</f>
        <v>-2.0430035087645542E-3</v>
      </c>
      <c r="F331">
        <f>SUM($E$2:E331)</f>
        <v>1.0392335987213239</v>
      </c>
      <c r="H331">
        <f>2*SIN(A331*PI()*Dashboard!$C$3)*(COS(A331*PI()*Dashboard!$C$13)-COS(A331*PI()*Dashboard!$C$14))/(A331*PI())</f>
        <v>2.0430035087645542E-3</v>
      </c>
      <c r="I331">
        <f>SUM($H$2:H331)</f>
        <v>-1.8700902942680873E-2</v>
      </c>
    </row>
    <row r="332" spans="1:9">
      <c r="A332">
        <v>331</v>
      </c>
      <c r="B332">
        <f>2*SIN(A332*PI()*Dashboard!$C$3)*(COS(A332*PI()*Dashboard!$C$9)-COS(A332*PI()*Dashboard!$C$10))/(A332*PI())</f>
        <v>-1.0501027477067941E-3</v>
      </c>
      <c r="C332">
        <f>SUM($B$2:B332)</f>
        <v>-2.0400568327049746E-2</v>
      </c>
      <c r="E332">
        <f>2*SIN(A332*PI()*Dashboard!$C$3)*(COS(A332*PI()*Dashboard!$C$11)-COS(A332*PI()*Dashboard!$C$12))/(A332*PI())</f>
        <v>-1.9863443724598704E-3</v>
      </c>
      <c r="F332">
        <f>SUM($E$2:E332)</f>
        <v>1.037247254348864</v>
      </c>
      <c r="H332">
        <f>2*SIN(A332*PI()*Dashboard!$C$3)*(COS(A332*PI()*Dashboard!$C$13)-COS(A332*PI()*Dashboard!$C$14))/(A332*PI())</f>
        <v>-2.9988261398215318E-6</v>
      </c>
      <c r="I332">
        <f>SUM($H$2:H332)</f>
        <v>-1.8703901768820693E-2</v>
      </c>
    </row>
    <row r="333" spans="1:9">
      <c r="A333">
        <v>332</v>
      </c>
      <c r="B333">
        <f>2*SIN(A333*PI()*Dashboard!$C$3)*(COS(A333*PI()*Dashboard!$C$9)-COS(A333*PI()*Dashboard!$C$10))/(A333*PI())</f>
        <v>1.2769664009724371E-3</v>
      </c>
      <c r="C333">
        <f>SUM($B$2:B333)</f>
        <v>-1.9123601926077309E-2</v>
      </c>
      <c r="E333">
        <f>2*SIN(A333*PI()*Dashboard!$C$3)*(COS(A333*PI()*Dashboard!$C$11)-COS(A333*PI()*Dashboard!$C$12))/(A333*PI())</f>
        <v>-4.3880620204497973E-4</v>
      </c>
      <c r="F333">
        <f>SUM($E$2:E333)</f>
        <v>1.0368084481468189</v>
      </c>
      <c r="H333">
        <f>2*SIN(A333*PI()*Dashboard!$C$3)*(COS(A333*PI()*Dashboard!$C$13)-COS(A333*PI()*Dashboard!$C$14))/(A333*PI())</f>
        <v>-8.3816019892745742E-4</v>
      </c>
      <c r="I333">
        <f>SUM($H$2:H333)</f>
        <v>-1.9542061967748152E-2</v>
      </c>
    </row>
    <row r="334" spans="1:9">
      <c r="A334">
        <v>333</v>
      </c>
      <c r="B334">
        <f>2*SIN(A334*PI()*Dashboard!$C$3)*(COS(A334*PI()*Dashboard!$C$9)-COS(A334*PI()*Dashboard!$C$10))/(A334*PI())</f>
        <v>3.4430777691650334E-3</v>
      </c>
      <c r="C334">
        <f>SUM($B$2:B334)</f>
        <v>-1.5680524156912276E-2</v>
      </c>
      <c r="E334">
        <f>2*SIN(A334*PI()*Dashboard!$C$3)*(COS(A334*PI()*Dashboard!$C$11)-COS(A334*PI()*Dashboard!$C$12))/(A334*PI())</f>
        <v>-3.2619363753035487E-3</v>
      </c>
      <c r="F334">
        <f>SUM($E$2:E334)</f>
        <v>1.0335465117715155</v>
      </c>
      <c r="H334">
        <f>2*SIN(A334*PI()*Dashboard!$C$3)*(COS(A334*PI()*Dashboard!$C$13)-COS(A334*PI()*Dashboard!$C$14))/(A334*PI())</f>
        <v>3.6254317669999984E-3</v>
      </c>
      <c r="I334">
        <f>SUM($H$2:H334)</f>
        <v>-1.5916630200748155E-2</v>
      </c>
    </row>
    <row r="335" spans="1:9">
      <c r="A335">
        <v>334</v>
      </c>
      <c r="B335">
        <f>2*SIN(A335*PI()*Dashboard!$C$3)*(COS(A335*PI()*Dashboard!$C$9)-COS(A335*PI()*Dashboard!$C$10))/(A335*PI())</f>
        <v>2.4678985559192329E-4</v>
      </c>
      <c r="C335">
        <f>SUM($B$2:B335)</f>
        <v>-1.5433734301320353E-2</v>
      </c>
      <c r="E335">
        <f>2*SIN(A335*PI()*Dashboard!$C$3)*(COS(A335*PI()*Dashboard!$C$11)-COS(A335*PI()*Dashboard!$C$12))/(A335*PI())</f>
        <v>-1.1729306553690157E-4</v>
      </c>
      <c r="F335">
        <f>SUM($E$2:E335)</f>
        <v>1.0334292187059786</v>
      </c>
      <c r="H335">
        <f>2*SIN(A335*PI()*Dashboard!$C$3)*(COS(A335*PI()*Dashboard!$C$13)-COS(A335*PI()*Dashboard!$C$14))/(A335*PI())</f>
        <v>-1.2949679005502178E-4</v>
      </c>
      <c r="I335">
        <f>SUM($H$2:H335)</f>
        <v>-1.6046126990803176E-2</v>
      </c>
    </row>
    <row r="336" spans="1:9">
      <c r="A336">
        <v>335</v>
      </c>
      <c r="B336">
        <f>2*SIN(A336*PI()*Dashboard!$C$3)*(COS(A336*PI()*Dashboard!$C$9)-COS(A336*PI()*Dashboard!$C$10))/(A336*PI())</f>
        <v>0</v>
      </c>
      <c r="C336">
        <f>SUM($B$2:B336)</f>
        <v>-1.5433734301320353E-2</v>
      </c>
      <c r="E336">
        <f>2*SIN(A336*PI()*Dashboard!$C$3)*(COS(A336*PI()*Dashboard!$C$11)-COS(A336*PI()*Dashboard!$C$12))/(A336*PI())</f>
        <v>-2.6884871423055916E-3</v>
      </c>
      <c r="F336">
        <f>SUM($E$2:E336)</f>
        <v>1.030740731563673</v>
      </c>
      <c r="H336">
        <f>2*SIN(A336*PI()*Dashboard!$C$3)*(COS(A336*PI()*Dashboard!$C$13)-COS(A336*PI()*Dashboard!$C$14))/(A336*PI())</f>
        <v>-6.9797477176495356E-4</v>
      </c>
      <c r="I336">
        <f>SUM($H$2:H336)</f>
        <v>-1.6744101762568131E-2</v>
      </c>
    </row>
    <row r="337" spans="1:9">
      <c r="A337">
        <v>336</v>
      </c>
      <c r="B337">
        <f>2*SIN(A337*PI()*Dashboard!$C$3)*(COS(A337*PI()*Dashboard!$C$9)-COS(A337*PI()*Dashboard!$C$10))/(A337*PI())</f>
        <v>-8.9621364237102744E-4</v>
      </c>
      <c r="C337">
        <f>SUM($B$2:B337)</f>
        <v>-1.6329947943691379E-2</v>
      </c>
      <c r="E337">
        <f>2*SIN(A337*PI()*Dashboard!$C$3)*(COS(A337*PI()*Dashboard!$C$11)-COS(A337*PI()*Dashboard!$C$12))/(A337*PI())</f>
        <v>-1.6067307127009855E-3</v>
      </c>
      <c r="F337">
        <f>SUM($E$2:E337)</f>
        <v>1.029134000850972</v>
      </c>
      <c r="H337">
        <f>2*SIN(A337*PI()*Dashboard!$C$3)*(COS(A337*PI()*Dashboard!$C$13)-COS(A337*PI()*Dashboard!$C$14))/(A337*PI())</f>
        <v>2.502944355072013E-3</v>
      </c>
      <c r="I337">
        <f>SUM($H$2:H337)</f>
        <v>-1.4241157407496118E-2</v>
      </c>
    </row>
    <row r="338" spans="1:9">
      <c r="A338">
        <v>337</v>
      </c>
      <c r="B338">
        <f>2*SIN(A338*PI()*Dashboard!$C$3)*(COS(A338*PI()*Dashboard!$C$9)-COS(A338*PI()*Dashboard!$C$10))/(A338*PI())</f>
        <v>1.739586332834889E-3</v>
      </c>
      <c r="C338">
        <f>SUM($B$2:B338)</f>
        <v>-1.459036161085649E-2</v>
      </c>
      <c r="E338">
        <f>2*SIN(A338*PI()*Dashboard!$C$3)*(COS(A338*PI()*Dashboard!$C$11)-COS(A338*PI()*Dashboard!$C$12))/(A338*PI())</f>
        <v>-8.9848956182182521E-4</v>
      </c>
      <c r="F338">
        <f>SUM($E$2:E338)</f>
        <v>1.0282355112891501</v>
      </c>
      <c r="H338">
        <f>2*SIN(A338*PI()*Dashboard!$C$3)*(COS(A338*PI()*Dashboard!$C$13)-COS(A338*PI()*Dashboard!$C$14))/(A338*PI())</f>
        <v>1.0821425774774011E-3</v>
      </c>
      <c r="I338">
        <f>SUM($H$2:H338)</f>
        <v>-1.3159014830018717E-2</v>
      </c>
    </row>
    <row r="339" spans="1:9">
      <c r="A339">
        <v>338</v>
      </c>
      <c r="B339">
        <f>2*SIN(A339*PI()*Dashboard!$C$3)*(COS(A339*PI()*Dashboard!$C$9)-COS(A339*PI()*Dashboard!$C$10))/(A339*PI())</f>
        <v>3.3002206999526067E-3</v>
      </c>
      <c r="C339">
        <f>SUM($B$2:B339)</f>
        <v>-1.1290140910903884E-2</v>
      </c>
      <c r="E339">
        <f>2*SIN(A339*PI()*Dashboard!$C$3)*(COS(A339*PI()*Dashboard!$C$11)-COS(A339*PI()*Dashboard!$C$12))/(A339*PI())</f>
        <v>-3.2858354144477231E-3</v>
      </c>
      <c r="F339">
        <f>SUM($E$2:E339)</f>
        <v>1.0249496758747023</v>
      </c>
      <c r="H339">
        <f>2*SIN(A339*PI()*Dashboard!$C$3)*(COS(A339*PI()*Dashboard!$C$13)-COS(A339*PI()*Dashboard!$C$14))/(A339*PI())</f>
        <v>-1.438528550488347E-5</v>
      </c>
      <c r="I339">
        <f>SUM($H$2:H339)</f>
        <v>-1.3173400115523601E-2</v>
      </c>
    </row>
    <row r="340" spans="1:9">
      <c r="A340">
        <v>339</v>
      </c>
      <c r="B340">
        <f>2*SIN(A340*PI()*Dashboard!$C$3)*(COS(A340*PI()*Dashboard!$C$9)-COS(A340*PI()*Dashboard!$C$10))/(A340*PI())</f>
        <v>4.0759253633445125E-5</v>
      </c>
      <c r="C340">
        <f>SUM($B$2:B340)</f>
        <v>-1.1249381657270439E-2</v>
      </c>
      <c r="E340">
        <f>2*SIN(A340*PI()*Dashboard!$C$3)*(COS(A340*PI()*Dashboard!$C$11)-COS(A340*PI()*Dashboard!$C$12))/(A340*PI())</f>
        <v>-3.4865979932855924E-6</v>
      </c>
      <c r="F340">
        <f>SUM($E$2:E340)</f>
        <v>1.0249461892767091</v>
      </c>
      <c r="H340">
        <f>2*SIN(A340*PI()*Dashboard!$C$3)*(COS(A340*PI()*Dashboard!$C$13)-COS(A340*PI()*Dashboard!$C$14))/(A340*PI())</f>
        <v>8.0702036361328459E-5</v>
      </c>
      <c r="I340">
        <f>SUM($H$2:H340)</f>
        <v>-1.3092698079162272E-2</v>
      </c>
    </row>
    <row r="341" spans="1:9">
      <c r="A341">
        <v>340</v>
      </c>
      <c r="B341">
        <f>2*SIN(A341*PI()*Dashboard!$C$3)*(COS(A341*PI()*Dashboard!$C$9)-COS(A341*PI()*Dashboard!$C$10))/(A341*PI())</f>
        <v>0</v>
      </c>
      <c r="C341">
        <f>SUM($B$2:B341)</f>
        <v>-1.1249381657270439E-2</v>
      </c>
      <c r="E341">
        <f>2*SIN(A341*PI()*Dashboard!$C$3)*(COS(A341*PI()*Dashboard!$C$11)-COS(A341*PI()*Dashboard!$C$12))/(A341*PI())</f>
        <v>-3.2214409739014633E-3</v>
      </c>
      <c r="F341">
        <f>SUM($E$2:E341)</f>
        <v>1.0217247483028076</v>
      </c>
      <c r="H341">
        <f>2*SIN(A341*PI()*Dashboard!$C$3)*(COS(A341*PI()*Dashboard!$C$13)-COS(A341*PI()*Dashboard!$C$14))/(A341*PI())</f>
        <v>3.2214409739014633E-3</v>
      </c>
      <c r="I341">
        <f>SUM($H$2:H341)</f>
        <v>-9.8712571052608084E-3</v>
      </c>
    </row>
    <row r="342" spans="1:9">
      <c r="A342">
        <v>341</v>
      </c>
      <c r="B342">
        <f>2*SIN(A342*PI()*Dashboard!$C$3)*(COS(A342*PI()*Dashboard!$C$9)-COS(A342*PI()*Dashboard!$C$10))/(A342*PI())</f>
        <v>-7.250932338958968E-4</v>
      </c>
      <c r="C342">
        <f>SUM($B$2:B342)</f>
        <v>-1.1974474891166336E-2</v>
      </c>
      <c r="E342">
        <f>2*SIN(A342*PI()*Dashboard!$C$3)*(COS(A342*PI()*Dashboard!$C$11)-COS(A342*PI()*Dashboard!$C$12))/(A342*PI())</f>
        <v>-1.1328210163955527E-3</v>
      </c>
      <c r="F342">
        <f>SUM($E$2:E342)</f>
        <v>1.0205919272864121</v>
      </c>
      <c r="H342">
        <f>2*SIN(A342*PI()*Dashboard!$C$3)*(COS(A342*PI()*Dashboard!$C$13)-COS(A342*PI()*Dashboard!$C$14))/(A342*PI())</f>
        <v>-2.4081532190717005E-4</v>
      </c>
      <c r="I342">
        <f>SUM($H$2:H342)</f>
        <v>-1.0112072427167978E-2</v>
      </c>
    </row>
    <row r="343" spans="1:9">
      <c r="A343">
        <v>342</v>
      </c>
      <c r="B343">
        <f>2*SIN(A343*PI()*Dashboard!$C$3)*(COS(A343*PI()*Dashboard!$C$9)-COS(A343*PI()*Dashboard!$C$10))/(A343*PI())</f>
        <v>2.1464712109900723E-3</v>
      </c>
      <c r="C343">
        <f>SUM($B$2:B343)</f>
        <v>-9.8280036801762644E-3</v>
      </c>
      <c r="E343">
        <f>2*SIN(A343*PI()*Dashboard!$C$3)*(COS(A343*PI()*Dashboard!$C$11)-COS(A343*PI()*Dashboard!$C$12))/(A343*PI())</f>
        <v>-1.4651353124095206E-3</v>
      </c>
      <c r="F343">
        <f>SUM($E$2:E343)</f>
        <v>1.0191267919740026</v>
      </c>
      <c r="H343">
        <f>2*SIN(A343*PI()*Dashboard!$C$3)*(COS(A343*PI()*Dashboard!$C$13)-COS(A343*PI()*Dashboard!$C$14))/(A343*PI())</f>
        <v>-6.813358985805518E-4</v>
      </c>
      <c r="I343">
        <f>SUM($H$2:H343)</f>
        <v>-1.079340832574853E-2</v>
      </c>
    </row>
    <row r="344" spans="1:9">
      <c r="A344">
        <v>343</v>
      </c>
      <c r="B344">
        <f>2*SIN(A344*PI()*Dashboard!$C$3)*(COS(A344*PI()*Dashboard!$C$9)-COS(A344*PI()*Dashboard!$C$10))/(A344*PI())</f>
        <v>3.0814507563270131E-3</v>
      </c>
      <c r="C344">
        <f>SUM($B$2:B344)</f>
        <v>-6.7465529238492517E-3</v>
      </c>
      <c r="E344">
        <f>2*SIN(A344*PI()*Dashboard!$C$3)*(COS(A344*PI()*Dashboard!$C$11)-COS(A344*PI()*Dashboard!$C$12))/(A344*PI())</f>
        <v>-3.0512791411302287E-3</v>
      </c>
      <c r="F344">
        <f>SUM($E$2:E344)</f>
        <v>1.0160755128328725</v>
      </c>
      <c r="H344">
        <f>2*SIN(A344*PI()*Dashboard!$C$3)*(COS(A344*PI()*Dashboard!$C$13)-COS(A344*PI()*Dashboard!$C$14))/(A344*PI())</f>
        <v>3.3765965532710786E-3</v>
      </c>
      <c r="I344">
        <f>SUM($H$2:H344)</f>
        <v>-7.4168117724774506E-3</v>
      </c>
    </row>
    <row r="345" spans="1:9">
      <c r="A345">
        <v>344</v>
      </c>
      <c r="B345">
        <f>2*SIN(A345*PI()*Dashboard!$C$3)*(COS(A345*PI()*Dashboard!$C$9)-COS(A345*PI()*Dashboard!$C$10))/(A345*PI())</f>
        <v>-1.6027112711926222E-4</v>
      </c>
      <c r="C345">
        <f>SUM($B$2:B345)</f>
        <v>-6.9068240509685139E-3</v>
      </c>
      <c r="E345">
        <f>2*SIN(A345*PI()*Dashboard!$C$3)*(COS(A345*PI()*Dashboard!$C$11)-COS(A345*PI()*Dashboard!$C$12))/(A345*PI())</f>
        <v>-5.7111382376750112E-5</v>
      </c>
      <c r="F345">
        <f>SUM($E$2:E345)</f>
        <v>1.0160184014504956</v>
      </c>
      <c r="H345">
        <f>2*SIN(A345*PI()*Dashboard!$C$3)*(COS(A345*PI()*Dashboard!$C$13)-COS(A345*PI()*Dashboard!$C$14))/(A345*PI())</f>
        <v>2.1738250949601232E-4</v>
      </c>
      <c r="I345">
        <f>SUM($H$2:H345)</f>
        <v>-7.1994292629814381E-3</v>
      </c>
    </row>
    <row r="346" spans="1:9">
      <c r="A346">
        <v>345</v>
      </c>
      <c r="B346">
        <f>2*SIN(A346*PI()*Dashboard!$C$3)*(COS(A346*PI()*Dashboard!$C$9)-COS(A346*PI()*Dashboard!$C$10))/(A346*PI())</f>
        <v>0</v>
      </c>
      <c r="C346">
        <f>SUM($B$2:B346)</f>
        <v>-6.9068240509685139E-3</v>
      </c>
      <c r="E346">
        <f>2*SIN(A346*PI()*Dashboard!$C$3)*(COS(A346*PI()*Dashboard!$C$11)-COS(A346*PI()*Dashboard!$C$12))/(A346*PI())</f>
        <v>-3.5559103627335921E-3</v>
      </c>
      <c r="F346">
        <f>SUM($E$2:E346)</f>
        <v>1.012462491087762</v>
      </c>
      <c r="H346">
        <f>2*SIN(A346*PI()*Dashboard!$C$3)*(COS(A346*PI()*Dashboard!$C$13)-COS(A346*PI()*Dashboard!$C$14))/(A346*PI())</f>
        <v>-8.9202255004301316E-5</v>
      </c>
      <c r="I346">
        <f>SUM($H$2:H346)</f>
        <v>-7.2886315179857396E-3</v>
      </c>
    </row>
    <row r="347" spans="1:9">
      <c r="A347">
        <v>346</v>
      </c>
      <c r="B347">
        <f>2*SIN(A347*PI()*Dashboard!$C$3)*(COS(A347*PI()*Dashboard!$C$9)-COS(A347*PI()*Dashboard!$C$10))/(A347*PI())</f>
        <v>-5.4132230879877627E-4</v>
      </c>
      <c r="C347">
        <f>SUM($B$2:B347)</f>
        <v>-7.4481463597672899E-3</v>
      </c>
      <c r="E347">
        <f>2*SIN(A347*PI()*Dashboard!$C$3)*(COS(A347*PI()*Dashboard!$C$11)-COS(A347*PI()*Dashboard!$C$12))/(A347*PI())</f>
        <v>-6.6185823226400716E-4</v>
      </c>
      <c r="F347">
        <f>SUM($E$2:E347)</f>
        <v>1.011800632855498</v>
      </c>
      <c r="H347">
        <f>2*SIN(A347*PI()*Dashboard!$C$3)*(COS(A347*PI()*Dashboard!$C$13)-COS(A347*PI()*Dashboard!$C$14))/(A347*PI())</f>
        <v>1.2031805410627834E-3</v>
      </c>
      <c r="I347">
        <f>SUM($H$2:H347)</f>
        <v>-6.0854509769229567E-3</v>
      </c>
    </row>
    <row r="348" spans="1:9">
      <c r="A348">
        <v>347</v>
      </c>
      <c r="B348">
        <f>2*SIN(A348*PI()*Dashboard!$C$3)*(COS(A348*PI()*Dashboard!$C$9)-COS(A348*PI()*Dashboard!$C$10))/(A348*PI())</f>
        <v>2.48953862933991E-3</v>
      </c>
      <c r="C348">
        <f>SUM($B$2:B348)</f>
        <v>-4.9586077304273803E-3</v>
      </c>
      <c r="E348">
        <f>2*SIN(A348*PI()*Dashboard!$C$3)*(COS(A348*PI()*Dashboard!$C$11)-COS(A348*PI()*Dashboard!$C$12))/(A348*PI())</f>
        <v>-2.0554176852196735E-3</v>
      </c>
      <c r="F348">
        <f>SUM($E$2:E348)</f>
        <v>1.0097452151702784</v>
      </c>
      <c r="H348">
        <f>2*SIN(A348*PI()*Dashboard!$C$3)*(COS(A348*PI()*Dashboard!$C$13)-COS(A348*PI()*Dashboard!$C$14))/(A348*PI())</f>
        <v>2.3182452714333533E-3</v>
      </c>
      <c r="I348">
        <f>SUM($H$2:H348)</f>
        <v>-3.7672057054896034E-3</v>
      </c>
    </row>
    <row r="349" spans="1:9">
      <c r="A349">
        <v>348</v>
      </c>
      <c r="B349">
        <f>2*SIN(A349*PI()*Dashboard!$C$3)*(COS(A349*PI()*Dashboard!$C$9)-COS(A349*PI()*Dashboard!$C$10))/(A349*PI())</f>
        <v>2.7941819268323446E-3</v>
      </c>
      <c r="C349">
        <f>SUM($B$2:B349)</f>
        <v>-2.1644258035950358E-3</v>
      </c>
      <c r="E349">
        <f>2*SIN(A349*PI()*Dashboard!$C$3)*(COS(A349*PI()*Dashboard!$C$11)-COS(A349*PI()*Dashboard!$C$12))/(A349*PI())</f>
        <v>-2.6031269836416979E-3</v>
      </c>
      <c r="F349">
        <f>SUM($E$2:E349)</f>
        <v>1.0071420881866366</v>
      </c>
      <c r="H349">
        <f>2*SIN(A349*PI()*Dashboard!$C$3)*(COS(A349*PI()*Dashboard!$C$13)-COS(A349*PI()*Dashboard!$C$14))/(A349*PI())</f>
        <v>-1.9105494319064699E-4</v>
      </c>
      <c r="I349">
        <f>SUM($H$2:H349)</f>
        <v>-3.95826064868025E-3</v>
      </c>
    </row>
    <row r="350" spans="1:9">
      <c r="A350">
        <v>349</v>
      </c>
      <c r="B350">
        <f>2*SIN(A350*PI()*Dashboard!$C$3)*(COS(A350*PI()*Dashboard!$C$9)-COS(A350*PI()*Dashboard!$C$10))/(A350*PI())</f>
        <v>-3.5165145676638808E-4</v>
      </c>
      <c r="C350">
        <f>SUM($B$2:B350)</f>
        <v>-2.5160772603614236E-3</v>
      </c>
      <c r="E350">
        <f>2*SIN(A350*PI()*Dashboard!$C$3)*(COS(A350*PI()*Dashboard!$C$11)-COS(A350*PI()*Dashboard!$C$12))/(A350*PI())</f>
        <v>-2.8382526884966017E-4</v>
      </c>
      <c r="F350">
        <f>SUM($E$2:E350)</f>
        <v>1.0068582629177869</v>
      </c>
      <c r="H350">
        <f>2*SIN(A350*PI()*Dashboard!$C$3)*(COS(A350*PI()*Dashboard!$C$13)-COS(A350*PI()*Dashboard!$C$14))/(A350*PI())</f>
        <v>-3.8235281260326286E-4</v>
      </c>
      <c r="I350">
        <f>SUM($H$2:H350)</f>
        <v>-4.3406134612835132E-3</v>
      </c>
    </row>
    <row r="351" spans="1:9">
      <c r="A351">
        <v>350</v>
      </c>
      <c r="B351">
        <f>2*SIN(A351*PI()*Dashboard!$C$3)*(COS(A351*PI()*Dashboard!$C$9)-COS(A351*PI()*Dashboard!$C$10))/(A351*PI())</f>
        <v>0</v>
      </c>
      <c r="C351">
        <f>SUM($B$2:B351)</f>
        <v>-2.5160772603614236E-3</v>
      </c>
      <c r="E351">
        <f>2*SIN(A351*PI()*Dashboard!$C$3)*(COS(A351*PI()*Dashboard!$C$11)-COS(A351*PI()*Dashboard!$C$12))/(A351*PI())</f>
        <v>-3.6378272706718939E-3</v>
      </c>
      <c r="F351">
        <f>SUM($E$2:E351)</f>
        <v>1.003220435647115</v>
      </c>
      <c r="H351">
        <f>2*SIN(A351*PI()*Dashboard!$C$3)*(COS(A351*PI()*Dashboard!$C$13)-COS(A351*PI()*Dashboard!$C$14))/(A351*PI())</f>
        <v>3.6378272706718939E-3</v>
      </c>
      <c r="I351">
        <f>SUM($H$2:H351)</f>
        <v>-7.0278619061161932E-4</v>
      </c>
    </row>
    <row r="352" spans="1:9">
      <c r="A352">
        <v>351</v>
      </c>
      <c r="B352">
        <f>2*SIN(A352*PI()*Dashboard!$C$3)*(COS(A352*PI()*Dashboard!$C$9)-COS(A352*PI()*Dashboard!$C$10))/(A352*PI())</f>
        <v>-3.4964774476202052E-4</v>
      </c>
      <c r="C352">
        <f>SUM($B$2:B352)</f>
        <v>-2.8657250051234442E-3</v>
      </c>
      <c r="E352">
        <f>2*SIN(A352*PI()*Dashboard!$C$3)*(COS(A352*PI()*Dashboard!$C$11)-COS(A352*PI()*Dashboard!$C$12))/(A352*PI())</f>
        <v>-2.8220803085059198E-4</v>
      </c>
      <c r="F352">
        <f>SUM($E$2:E352)</f>
        <v>1.0029382276162644</v>
      </c>
      <c r="H352">
        <f>2*SIN(A352*PI()*Dashboard!$C$3)*(COS(A352*PI()*Dashboard!$C$13)-COS(A352*PI()*Dashboard!$C$14))/(A352*PI())</f>
        <v>-3.8017416409841194E-4</v>
      </c>
      <c r="I352">
        <f>SUM($H$2:H352)</f>
        <v>-1.0829603547100313E-3</v>
      </c>
    </row>
    <row r="353" spans="1:9">
      <c r="A353">
        <v>352</v>
      </c>
      <c r="B353">
        <f>2*SIN(A353*PI()*Dashboard!$C$3)*(COS(A353*PI()*Dashboard!$C$9)-COS(A353*PI()*Dashboard!$C$10))/(A353*PI())</f>
        <v>2.7624298594815769E-3</v>
      </c>
      <c r="C353">
        <f>SUM($B$2:B353)</f>
        <v>-1.0329514564186727E-4</v>
      </c>
      <c r="E353">
        <f>2*SIN(A353*PI()*Dashboard!$C$3)*(COS(A353*PI()*Dashboard!$C$11)-COS(A353*PI()*Dashboard!$C$12))/(A353*PI())</f>
        <v>-2.5735459951907245E-3</v>
      </c>
      <c r="F353">
        <f>SUM($E$2:E353)</f>
        <v>1.0003646816210736</v>
      </c>
      <c r="H353">
        <f>2*SIN(A353*PI()*Dashboard!$C$3)*(COS(A353*PI()*Dashboard!$C$13)-COS(A353*PI()*Dashboard!$C$14))/(A353*PI())</f>
        <v>-1.8888386429085217E-4</v>
      </c>
      <c r="I353">
        <f>SUM($H$2:H353)</f>
        <v>-1.2718442190008835E-3</v>
      </c>
    </row>
    <row r="354" spans="1:9">
      <c r="A354">
        <v>353</v>
      </c>
      <c r="B354">
        <f>2*SIN(A354*PI()*Dashboard!$C$3)*(COS(A354*PI()*Dashboard!$C$9)-COS(A354*PI()*Dashboard!$C$10))/(A354*PI())</f>
        <v>2.4472235251586437E-3</v>
      </c>
      <c r="C354">
        <f>SUM($B$2:B354)</f>
        <v>2.3439283795167764E-3</v>
      </c>
      <c r="E354">
        <f>2*SIN(A354*PI()*Dashboard!$C$3)*(COS(A354*PI()*Dashboard!$C$11)-COS(A354*PI()*Dashboard!$C$12))/(A354*PI())</f>
        <v>-2.0204814072841098E-3</v>
      </c>
      <c r="F354">
        <f>SUM($E$2:E354)</f>
        <v>0.99834420021378956</v>
      </c>
      <c r="H354">
        <f>2*SIN(A354*PI()*Dashboard!$C$3)*(COS(A354*PI()*Dashboard!$C$13)-COS(A354*PI()*Dashboard!$C$14))/(A354*PI())</f>
        <v>2.2788416690861365E-3</v>
      </c>
      <c r="I354">
        <f>SUM($H$2:H354)</f>
        <v>1.0069974500852531E-3</v>
      </c>
    </row>
    <row r="355" spans="1:9">
      <c r="A355">
        <v>354</v>
      </c>
      <c r="B355">
        <f>2*SIN(A355*PI()*Dashboard!$C$3)*(COS(A355*PI()*Dashboard!$C$9)-COS(A355*PI()*Dashboard!$C$10))/(A355*PI())</f>
        <v>-5.2908903628350393E-4</v>
      </c>
      <c r="C355">
        <f>SUM($B$2:B355)</f>
        <v>1.8148393432332725E-3</v>
      </c>
      <c r="E355">
        <f>2*SIN(A355*PI()*Dashboard!$C$3)*(COS(A355*PI()*Dashboard!$C$11)-COS(A355*PI()*Dashboard!$C$12))/(A355*PI())</f>
        <v>-6.4690098407706447E-4</v>
      </c>
      <c r="F355">
        <f>SUM($E$2:E355)</f>
        <v>0.99769729922971251</v>
      </c>
      <c r="H355">
        <f>2*SIN(A355*PI()*Dashboard!$C$3)*(COS(A355*PI()*Dashboard!$C$13)-COS(A355*PI()*Dashboard!$C$14))/(A355*PI())</f>
        <v>1.1759900203605683E-3</v>
      </c>
      <c r="I355">
        <f>SUM($H$2:H355)</f>
        <v>2.1829874704458211E-3</v>
      </c>
    </row>
    <row r="356" spans="1:9">
      <c r="A356">
        <v>355</v>
      </c>
      <c r="B356">
        <f>2*SIN(A356*PI()*Dashboard!$C$3)*(COS(A356*PI()*Dashboard!$C$9)-COS(A356*PI()*Dashboard!$C$10))/(A356*PI())</f>
        <v>0</v>
      </c>
      <c r="C356">
        <f>SUM($B$2:B356)</f>
        <v>1.8148393432332725E-3</v>
      </c>
      <c r="E356">
        <f>2*SIN(A356*PI()*Dashboard!$C$3)*(COS(A356*PI()*Dashboard!$C$11)-COS(A356*PI()*Dashboard!$C$12))/(A356*PI())</f>
        <v>-3.4557438736425735E-3</v>
      </c>
      <c r="F356">
        <f>SUM($E$2:E356)</f>
        <v>0.99424155535606995</v>
      </c>
      <c r="H356">
        <f>2*SIN(A356*PI()*Dashboard!$C$3)*(COS(A356*PI()*Dashboard!$C$13)-COS(A356*PI()*Dashboard!$C$14))/(A356*PI())</f>
        <v>-8.6689515426692886E-5</v>
      </c>
      <c r="I356">
        <f>SUM($H$2:H356)</f>
        <v>2.0962979550191285E-3</v>
      </c>
    </row>
    <row r="357" spans="1:9">
      <c r="A357">
        <v>356</v>
      </c>
      <c r="B357">
        <f>2*SIN(A357*PI()*Dashboard!$C$3)*(COS(A357*PI()*Dashboard!$C$9)-COS(A357*PI()*Dashboard!$C$10))/(A357*PI())</f>
        <v>-1.5486872957592079E-4</v>
      </c>
      <c r="C357">
        <f>SUM($B$2:B357)</f>
        <v>1.6599706136573517E-3</v>
      </c>
      <c r="E357">
        <f>2*SIN(A357*PI()*Dashboard!$C$3)*(COS(A357*PI()*Dashboard!$C$11)-COS(A357*PI()*Dashboard!$C$12))/(A357*PI())</f>
        <v>-5.5186279600051543E-5</v>
      </c>
      <c r="F357">
        <f>SUM($E$2:E357)</f>
        <v>0.99418636907646984</v>
      </c>
      <c r="H357">
        <f>2*SIN(A357*PI()*Dashboard!$C$3)*(COS(A357*PI()*Dashboard!$C$13)-COS(A357*PI()*Dashboard!$C$14))/(A357*PI())</f>
        <v>2.1005500917597233E-4</v>
      </c>
      <c r="I357">
        <f>SUM($H$2:H357)</f>
        <v>2.3063529641951007E-3</v>
      </c>
    </row>
    <row r="358" spans="1:9">
      <c r="A358">
        <v>357</v>
      </c>
      <c r="B358">
        <f>2*SIN(A358*PI()*Dashboard!$C$3)*(COS(A358*PI()*Dashboard!$C$9)-COS(A358*PI()*Dashboard!$C$10))/(A358*PI())</f>
        <v>2.9606095501963229E-3</v>
      </c>
      <c r="C358">
        <f>SUM($B$2:B358)</f>
        <v>4.6205801638536746E-3</v>
      </c>
      <c r="E358">
        <f>2*SIN(A358*PI()*Dashboard!$C$3)*(COS(A358*PI()*Dashboard!$C$11)-COS(A358*PI()*Dashboard!$C$12))/(A358*PI())</f>
        <v>-2.9316211355954786E-3</v>
      </c>
      <c r="F358">
        <f>SUM($E$2:E358)</f>
        <v>0.99125474794087431</v>
      </c>
      <c r="H358">
        <f>2*SIN(A358*PI()*Dashboard!$C$3)*(COS(A358*PI()*Dashboard!$C$13)-COS(A358*PI()*Dashboard!$C$14))/(A358*PI())</f>
        <v>3.2441810021622817E-3</v>
      </c>
      <c r="I358">
        <f>SUM($H$2:H358)</f>
        <v>5.5505339663573829E-3</v>
      </c>
    </row>
    <row r="359" spans="1:9">
      <c r="A359">
        <v>358</v>
      </c>
      <c r="B359">
        <f>2*SIN(A359*PI()*Dashboard!$C$3)*(COS(A359*PI()*Dashboard!$C$9)-COS(A359*PI()*Dashboard!$C$10))/(A359*PI())</f>
        <v>2.0505395367559818E-3</v>
      </c>
      <c r="C359">
        <f>SUM($B$2:B359)</f>
        <v>6.6711197006096568E-3</v>
      </c>
      <c r="E359">
        <f>2*SIN(A359*PI()*Dashboard!$C$3)*(COS(A359*PI()*Dashboard!$C$11)-COS(A359*PI()*Dashboard!$C$12))/(A359*PI())</f>
        <v>-1.3996544045924626E-3</v>
      </c>
      <c r="F359">
        <f>SUM($E$2:E359)</f>
        <v>0.98985509353628187</v>
      </c>
      <c r="H359">
        <f>2*SIN(A359*PI()*Dashboard!$C$3)*(COS(A359*PI()*Dashboard!$C$13)-COS(A359*PI()*Dashboard!$C$14))/(A359*PI())</f>
        <v>-6.5088513216351887E-4</v>
      </c>
      <c r="I359">
        <f>SUM($H$2:H359)</f>
        <v>4.8996488341938637E-3</v>
      </c>
    </row>
    <row r="360" spans="1:9">
      <c r="A360">
        <v>359</v>
      </c>
      <c r="B360">
        <f>2*SIN(A360*PI()*Dashboard!$C$3)*(COS(A360*PI()*Dashboard!$C$9)-COS(A360*PI()*Dashboard!$C$10))/(A360*PI())</f>
        <v>-6.8873758428554467E-4</v>
      </c>
      <c r="C360">
        <f>SUM($B$2:B360)</f>
        <v>5.9823821163241123E-3</v>
      </c>
      <c r="E360">
        <f>2*SIN(A360*PI()*Dashboard!$C$3)*(COS(A360*PI()*Dashboard!$C$11)-COS(A360*PI()*Dashboard!$C$12))/(A360*PI())</f>
        <v>-1.0760221910605071E-3</v>
      </c>
      <c r="F360">
        <f>SUM($E$2:E360)</f>
        <v>0.98877907134522136</v>
      </c>
      <c r="H360">
        <f>2*SIN(A360*PI()*Dashboard!$C$3)*(COS(A360*PI()*Dashboard!$C$13)-COS(A360*PI()*Dashboard!$C$14))/(A360*PI())</f>
        <v>-2.2874101607340134E-4</v>
      </c>
      <c r="I360">
        <f>SUM($H$2:H360)</f>
        <v>4.6709078181204622E-3</v>
      </c>
    </row>
    <row r="361" spans="1:9">
      <c r="A361">
        <v>360</v>
      </c>
      <c r="B361">
        <f>2*SIN(A361*PI()*Dashboard!$C$3)*(COS(A361*PI()*Dashboard!$C$9)-COS(A361*PI()*Dashboard!$C$10))/(A361*PI())</f>
        <v>0</v>
      </c>
      <c r="C361">
        <f>SUM($B$2:B361)</f>
        <v>5.9823821163241123E-3</v>
      </c>
      <c r="E361">
        <f>2*SIN(A361*PI()*Dashboard!$C$3)*(COS(A361*PI()*Dashboard!$C$11)-COS(A361*PI()*Dashboard!$C$12))/(A361*PI())</f>
        <v>-3.0424720309070049E-3</v>
      </c>
      <c r="F361">
        <f>SUM($E$2:E361)</f>
        <v>0.98573659931431434</v>
      </c>
      <c r="H361">
        <f>2*SIN(A361*PI()*Dashboard!$C$3)*(COS(A361*PI()*Dashboard!$C$13)-COS(A361*PI()*Dashboard!$C$14))/(A361*PI())</f>
        <v>3.0424720309070049E-3</v>
      </c>
      <c r="I361">
        <f>SUM($H$2:H361)</f>
        <v>7.7133798490274675E-3</v>
      </c>
    </row>
    <row r="362" spans="1:9">
      <c r="A362">
        <v>361</v>
      </c>
      <c r="B362">
        <f>2*SIN(A362*PI()*Dashboard!$C$3)*(COS(A362*PI()*Dashboard!$C$9)-COS(A362*PI()*Dashboard!$C$10))/(A362*PI())</f>
        <v>3.8275310198542344E-5</v>
      </c>
      <c r="C362">
        <f>SUM($B$2:B362)</f>
        <v>6.0206574265226544E-3</v>
      </c>
      <c r="E362">
        <f>2*SIN(A362*PI()*Dashboard!$C$3)*(COS(A362*PI()*Dashboard!$C$11)-COS(A362*PI()*Dashboard!$C$12))/(A362*PI())</f>
        <v>-3.2741183371533156E-6</v>
      </c>
      <c r="F362">
        <f>SUM($E$2:E362)</f>
        <v>0.98573332519597723</v>
      </c>
      <c r="H362">
        <f>2*SIN(A362*PI()*Dashboard!$C$3)*(COS(A362*PI()*Dashboard!$C$13)-COS(A362*PI()*Dashboard!$C$14))/(A362*PI())</f>
        <v>7.5783906721238595E-5</v>
      </c>
      <c r="I362">
        <f>SUM($H$2:H362)</f>
        <v>7.7891637557487058E-3</v>
      </c>
    </row>
    <row r="363" spans="1:9">
      <c r="A363">
        <v>362</v>
      </c>
      <c r="B363">
        <f>2*SIN(A363*PI()*Dashboard!$C$3)*(COS(A363*PI()*Dashboard!$C$9)-COS(A363*PI()*Dashboard!$C$10))/(A363*PI())</f>
        <v>3.0814215375246706E-3</v>
      </c>
      <c r="C363">
        <f>SUM($B$2:B363)</f>
        <v>9.1020789640473242E-3</v>
      </c>
      <c r="E363">
        <f>2*SIN(A363*PI()*Dashboard!$C$3)*(COS(A363*PI()*Dashboard!$C$11)-COS(A363*PI()*Dashboard!$C$12))/(A363*PI())</f>
        <v>-3.0679899726057552E-3</v>
      </c>
      <c r="F363">
        <f>SUM($E$2:E363)</f>
        <v>0.98266533522337152</v>
      </c>
      <c r="H363">
        <f>2*SIN(A363*PI()*Dashboard!$C$3)*(COS(A363*PI()*Dashboard!$C$13)-COS(A363*PI()*Dashboard!$C$14))/(A363*PI())</f>
        <v>-1.3431564918915182E-5</v>
      </c>
      <c r="I363">
        <f>SUM($H$2:H363)</f>
        <v>7.7757321908297908E-3</v>
      </c>
    </row>
    <row r="364" spans="1:9">
      <c r="A364">
        <v>363</v>
      </c>
      <c r="B364">
        <f>2*SIN(A364*PI()*Dashboard!$C$3)*(COS(A364*PI()*Dashboard!$C$9)-COS(A364*PI()*Dashboard!$C$10))/(A364*PI())</f>
        <v>1.6149878627147384E-3</v>
      </c>
      <c r="C364">
        <f>SUM($B$2:B364)</f>
        <v>1.0717066826762062E-2</v>
      </c>
      <c r="E364">
        <f>2*SIN(A364*PI()*Dashboard!$C$3)*(COS(A364*PI()*Dashboard!$C$11)-COS(A364*PI()*Dashboard!$C$12))/(A364*PI())</f>
        <v>-8.3413493755929045E-4</v>
      </c>
      <c r="F364">
        <f>SUM($E$2:E364)</f>
        <v>0.98183120028581228</v>
      </c>
      <c r="H364">
        <f>2*SIN(A364*PI()*Dashboard!$C$3)*(COS(A364*PI()*Dashboard!$C$13)-COS(A364*PI()*Dashboard!$C$14))/(A364*PI())</f>
        <v>1.0046337427271298E-3</v>
      </c>
      <c r="I364">
        <f>SUM($H$2:H364)</f>
        <v>8.780365933556921E-3</v>
      </c>
    </row>
    <row r="365" spans="1:9">
      <c r="A365">
        <v>364</v>
      </c>
      <c r="B365">
        <f>2*SIN(A365*PI()*Dashboard!$C$3)*(COS(A365*PI()*Dashboard!$C$9)-COS(A365*PI()*Dashboard!$C$10))/(A365*PI())</f>
        <v>-8.2727413141945997E-4</v>
      </c>
      <c r="C365">
        <f>SUM($B$2:B365)</f>
        <v>9.8897926953426026E-3</v>
      </c>
      <c r="E365">
        <f>2*SIN(A365*PI()*Dashboard!$C$3)*(COS(A365*PI()*Dashboard!$C$11)-COS(A365*PI()*Dashboard!$C$12))/(A365*PI())</f>
        <v>-1.4831360424930888E-3</v>
      </c>
      <c r="F365">
        <f>SUM($E$2:E365)</f>
        <v>0.98034806424331922</v>
      </c>
      <c r="H365">
        <f>2*SIN(A365*PI()*Dashboard!$C$3)*(COS(A365*PI()*Dashboard!$C$13)-COS(A365*PI()*Dashboard!$C$14))/(A365*PI())</f>
        <v>2.3104101739125486E-3</v>
      </c>
      <c r="I365">
        <f>SUM($H$2:H365)</f>
        <v>1.1090776107469469E-2</v>
      </c>
    </row>
    <row r="366" spans="1:9">
      <c r="A366">
        <v>365</v>
      </c>
      <c r="B366">
        <f>2*SIN(A366*PI()*Dashboard!$C$3)*(COS(A366*PI()*Dashboard!$C$9)-COS(A366*PI()*Dashboard!$C$10))/(A366*PI())</f>
        <v>0</v>
      </c>
      <c r="C366">
        <f>SUM($B$2:B366)</f>
        <v>9.8897926953426026E-3</v>
      </c>
      <c r="E366">
        <f>2*SIN(A366*PI()*Dashboard!$C$3)*(COS(A366*PI()*Dashboard!$C$11)-COS(A366*PI()*Dashboard!$C$12))/(A366*PI())</f>
        <v>-2.4675155963627517E-3</v>
      </c>
      <c r="F366">
        <f>SUM($E$2:E366)</f>
        <v>0.9778805486469565</v>
      </c>
      <c r="H366">
        <f>2*SIN(A366*PI()*Dashboard!$C$3)*(COS(A366*PI()*Dashboard!$C$13)-COS(A366*PI()*Dashboard!$C$14))/(A366*PI())</f>
        <v>-6.4060698230477414E-4</v>
      </c>
      <c r="I366">
        <f>SUM($H$2:H366)</f>
        <v>1.0450169125164695E-2</v>
      </c>
    </row>
    <row r="367" spans="1:9">
      <c r="A367">
        <v>366</v>
      </c>
      <c r="B367">
        <f>2*SIN(A367*PI()*Dashboard!$C$3)*(COS(A367*PI()*Dashboard!$C$9)-COS(A367*PI()*Dashboard!$C$10))/(A367*PI())</f>
        <v>2.2521260045807023E-4</v>
      </c>
      <c r="C367">
        <f>SUM($B$2:B367)</f>
        <v>1.0115005295800672E-2</v>
      </c>
      <c r="E367">
        <f>2*SIN(A367*PI()*Dashboard!$C$3)*(COS(A367*PI()*Dashboard!$C$11)-COS(A367*PI()*Dashboard!$C$12))/(A367*PI())</f>
        <v>-1.0703793412374564E-4</v>
      </c>
      <c r="F367">
        <f>SUM($E$2:E367)</f>
        <v>0.97777351071283281</v>
      </c>
      <c r="H367">
        <f>2*SIN(A367*PI()*Dashboard!$C$3)*(COS(A367*PI()*Dashboard!$C$13)-COS(A367*PI()*Dashboard!$C$14))/(A367*PI())</f>
        <v>-1.1817466633432459E-4</v>
      </c>
      <c r="I367">
        <f>SUM($H$2:H367)</f>
        <v>1.033199445883037E-2</v>
      </c>
    </row>
    <row r="368" spans="1:9">
      <c r="A368">
        <v>367</v>
      </c>
      <c r="B368">
        <f>2*SIN(A368*PI()*Dashboard!$C$3)*(COS(A368*PI()*Dashboard!$C$9)-COS(A368*PI()*Dashboard!$C$10))/(A368*PI())</f>
        <v>3.1241005371442235E-3</v>
      </c>
      <c r="C368">
        <f>SUM($B$2:B368)</f>
        <v>1.3239105832944895E-2</v>
      </c>
      <c r="E368">
        <f>2*SIN(A368*PI()*Dashboard!$C$3)*(COS(A368*PI()*Dashboard!$C$11)-COS(A368*PI()*Dashboard!$C$12))/(A368*PI())</f>
        <v>-2.9597406348121726E-3</v>
      </c>
      <c r="F368">
        <f>SUM($E$2:E368)</f>
        <v>0.97481377007802061</v>
      </c>
      <c r="H368">
        <f>2*SIN(A368*PI()*Dashboard!$C$3)*(COS(A368*PI()*Dashboard!$C$13)-COS(A368*PI()*Dashboard!$C$14))/(A368*PI())</f>
        <v>3.2895607041171877E-3</v>
      </c>
      <c r="I368">
        <f>SUM($H$2:H368)</f>
        <v>1.3621555162947559E-2</v>
      </c>
    </row>
    <row r="369" spans="1:9">
      <c r="A369">
        <v>368</v>
      </c>
      <c r="B369">
        <f>2*SIN(A369*PI()*Dashboard!$C$3)*(COS(A369*PI()*Dashboard!$C$9)-COS(A369*PI()*Dashboard!$C$10))/(A369*PI())</f>
        <v>1.1520457747906112E-3</v>
      </c>
      <c r="C369">
        <f>SUM($B$2:B369)</f>
        <v>1.4391151607735506E-2</v>
      </c>
      <c r="E369">
        <f>2*SIN(A369*PI()*Dashboard!$C$3)*(COS(A369*PI()*Dashboard!$C$11)-COS(A369*PI()*Dashboard!$C$12))/(A369*PI())</f>
        <v>-3.9587950836679833E-4</v>
      </c>
      <c r="F369">
        <f>SUM($E$2:E369)</f>
        <v>0.97441789056965378</v>
      </c>
      <c r="H369">
        <f>2*SIN(A369*PI()*Dashboard!$C$3)*(COS(A369*PI()*Dashboard!$C$13)-COS(A369*PI()*Dashboard!$C$14))/(A369*PI())</f>
        <v>-7.5616626642381276E-4</v>
      </c>
      <c r="I369">
        <f>SUM($H$2:H369)</f>
        <v>1.2865388896523746E-2</v>
      </c>
    </row>
    <row r="370" spans="1:9">
      <c r="A370">
        <v>369</v>
      </c>
      <c r="B370">
        <f>2*SIN(A370*PI()*Dashboard!$C$3)*(COS(A370*PI()*Dashboard!$C$9)-COS(A370*PI()*Dashboard!$C$10))/(A370*PI())</f>
        <v>-9.4196208534138822E-4</v>
      </c>
      <c r="C370">
        <f>SUM($B$2:B370)</f>
        <v>1.3449189522394118E-2</v>
      </c>
      <c r="E370">
        <f>2*SIN(A370*PI()*Dashboard!$C$3)*(COS(A370*PI()*Dashboard!$C$11)-COS(A370*PI()*Dashboard!$C$12))/(A370*PI())</f>
        <v>-1.7817885834259437E-3</v>
      </c>
      <c r="F370">
        <f>SUM($E$2:E370)</f>
        <v>0.97263610198622785</v>
      </c>
      <c r="H370">
        <f>2*SIN(A370*PI()*Dashboard!$C$3)*(COS(A370*PI()*Dashboard!$C$13)-COS(A370*PI()*Dashboard!$C$14))/(A370*PI())</f>
        <v>-2.6900039357242509E-6</v>
      </c>
      <c r="I370">
        <f>SUM($H$2:H370)</f>
        <v>1.2862698892588021E-2</v>
      </c>
    </row>
    <row r="371" spans="1:9">
      <c r="A371">
        <v>370</v>
      </c>
      <c r="B371">
        <f>2*SIN(A371*PI()*Dashboard!$C$3)*(COS(A371*PI()*Dashboard!$C$9)-COS(A371*PI()*Dashboard!$C$10))/(A371*PI())</f>
        <v>0</v>
      </c>
      <c r="C371">
        <f>SUM($B$2:B371)</f>
        <v>1.3449189522394118E-2</v>
      </c>
      <c r="E371">
        <f>2*SIN(A371*PI()*Dashboard!$C$3)*(COS(A371*PI()*Dashboard!$C$11)-COS(A371*PI()*Dashboard!$C$12))/(A371*PI())</f>
        <v>-1.8221382645741818E-3</v>
      </c>
      <c r="F371">
        <f>SUM($E$2:E371)</f>
        <v>0.97081396372165363</v>
      </c>
      <c r="H371">
        <f>2*SIN(A371*PI()*Dashboard!$C$3)*(COS(A371*PI()*Dashboard!$C$13)-COS(A371*PI()*Dashboard!$C$14))/(A371*PI())</f>
        <v>1.8221382645741818E-3</v>
      </c>
      <c r="I371">
        <f>SUM($H$2:H371)</f>
        <v>1.4684837157162203E-2</v>
      </c>
    </row>
    <row r="372" spans="1:9">
      <c r="A372">
        <v>371</v>
      </c>
      <c r="B372">
        <f>2*SIN(A372*PI()*Dashboard!$C$3)*(COS(A372*PI()*Dashboard!$C$9)-COS(A372*PI()*Dashboard!$C$10))/(A372*PI())</f>
        <v>4.0164040502883451E-4</v>
      </c>
      <c r="C372">
        <f>SUM($B$2:B372)</f>
        <v>1.3850829927422953E-2</v>
      </c>
      <c r="E372">
        <f>2*SIN(A372*PI()*Dashboard!$C$3)*(COS(A372*PI()*Dashboard!$C$11)-COS(A372*PI()*Dashboard!$C$12))/(A372*PI())</f>
        <v>-3.1115453990035284E-4</v>
      </c>
      <c r="F372">
        <f>SUM($E$2:E372)</f>
        <v>0.97050280918175325</v>
      </c>
      <c r="H372">
        <f>2*SIN(A372*PI()*Dashboard!$C$3)*(COS(A372*PI()*Dashboard!$C$13)-COS(A372*PI()*Dashboard!$C$14))/(A372*PI())</f>
        <v>1.0720330441912822E-3</v>
      </c>
      <c r="I372">
        <f>SUM($H$2:H372)</f>
        <v>1.5756870201353485E-2</v>
      </c>
    </row>
    <row r="373" spans="1:9">
      <c r="A373">
        <v>372</v>
      </c>
      <c r="B373">
        <f>2*SIN(A373*PI()*Dashboard!$C$3)*(COS(A373*PI()*Dashboard!$C$9)-COS(A373*PI()*Dashboard!$C$10))/(A373*PI())</f>
        <v>3.0897404762046847E-3</v>
      </c>
      <c r="C373">
        <f>SUM($B$2:B373)</f>
        <v>1.6940570403627637E-2</v>
      </c>
      <c r="E373">
        <f>2*SIN(A373*PI()*Dashboard!$C$3)*(COS(A373*PI()*Dashboard!$C$11)-COS(A373*PI()*Dashboard!$C$12))/(A373*PI())</f>
        <v>-2.6268279636184554E-3</v>
      </c>
      <c r="F373">
        <f>SUM($E$2:E373)</f>
        <v>0.96787598121813478</v>
      </c>
      <c r="H373">
        <f>2*SIN(A373*PI()*Dashboard!$C$3)*(COS(A373*PI()*Dashboard!$C$13)-COS(A373*PI()*Dashboard!$C$14))/(A373*PI())</f>
        <v>-4.6291251258622949E-4</v>
      </c>
      <c r="I373">
        <f>SUM($H$2:H373)</f>
        <v>1.5293957688767255E-2</v>
      </c>
    </row>
    <row r="374" spans="1:9">
      <c r="A374">
        <v>373</v>
      </c>
      <c r="B374">
        <f>2*SIN(A374*PI()*Dashboard!$C$3)*(COS(A374*PI()*Dashboard!$C$9)-COS(A374*PI()*Dashboard!$C$10))/(A374*PI())</f>
        <v>6.7352806974426175E-4</v>
      </c>
      <c r="C374">
        <f>SUM($B$2:B374)</f>
        <v>1.7614098473371899E-2</v>
      </c>
      <c r="E374">
        <f>2*SIN(A374*PI()*Dashboard!$C$3)*(COS(A374*PI()*Dashboard!$C$11)-COS(A374*PI()*Dashboard!$C$12))/(A374*PI())</f>
        <v>-1.2184574997754998E-4</v>
      </c>
      <c r="F374">
        <f>SUM($E$2:E374)</f>
        <v>0.96775413546815725</v>
      </c>
      <c r="H374">
        <f>2*SIN(A374*PI()*Dashboard!$C$3)*(COS(A374*PI()*Dashboard!$C$13)-COS(A374*PI()*Dashboard!$C$14))/(A374*PI())</f>
        <v>1.9295200024084674E-4</v>
      </c>
      <c r="I374">
        <f>SUM($H$2:H374)</f>
        <v>1.5486909689008102E-2</v>
      </c>
    </row>
    <row r="375" spans="1:9">
      <c r="A375">
        <v>374</v>
      </c>
      <c r="B375">
        <f>2*SIN(A375*PI()*Dashboard!$C$3)*(COS(A375*PI()*Dashboard!$C$9)-COS(A375*PI()*Dashboard!$C$10))/(A375*PI())</f>
        <v>-1.0306993670224954E-3</v>
      </c>
      <c r="C375">
        <f>SUM($B$2:B375)</f>
        <v>1.6583399106349404E-2</v>
      </c>
      <c r="E375">
        <f>2*SIN(A375*PI()*Dashboard!$C$3)*(COS(A375*PI()*Dashboard!$C$11)-COS(A375*PI()*Dashboard!$C$12))/(A375*PI())</f>
        <v>-1.9057222259672016E-3</v>
      </c>
      <c r="F375">
        <f>SUM($E$2:E375)</f>
        <v>0.96584841324219006</v>
      </c>
      <c r="H375">
        <f>2*SIN(A375*PI()*Dashboard!$C$3)*(COS(A375*PI()*Dashboard!$C$13)-COS(A375*PI()*Dashboard!$C$14))/(A375*PI())</f>
        <v>2.9364215929896971E-3</v>
      </c>
      <c r="I375">
        <f>SUM($H$2:H375)</f>
        <v>1.8423331281997801E-2</v>
      </c>
    </row>
    <row r="376" spans="1:9">
      <c r="A376">
        <v>375</v>
      </c>
      <c r="B376">
        <f>2*SIN(A376*PI()*Dashboard!$C$3)*(COS(A376*PI()*Dashboard!$C$9)-COS(A376*PI()*Dashboard!$C$10))/(A376*PI())</f>
        <v>0</v>
      </c>
      <c r="C376">
        <f>SUM($B$2:B376)</f>
        <v>1.6583399106349404E-2</v>
      </c>
      <c r="E376">
        <f>2*SIN(A376*PI()*Dashboard!$C$3)*(COS(A376*PI()*Dashboard!$C$11)-COS(A376*PI()*Dashboard!$C$12))/(A376*PI())</f>
        <v>-1.2004217548762458E-3</v>
      </c>
      <c r="F376">
        <f>SUM($E$2:E376)</f>
        <v>0.96464799148731384</v>
      </c>
      <c r="H376">
        <f>2*SIN(A376*PI()*Dashboard!$C$3)*(COS(A376*PI()*Dashboard!$C$13)-COS(A376*PI()*Dashboard!$C$14))/(A376*PI())</f>
        <v>-1.200421754876127E-3</v>
      </c>
      <c r="I376">
        <f>SUM($H$2:H376)</f>
        <v>1.7222909527121674E-2</v>
      </c>
    </row>
    <row r="377" spans="1:9">
      <c r="A377">
        <v>376</v>
      </c>
      <c r="B377">
        <f>2*SIN(A377*PI()*Dashboard!$C$3)*(COS(A377*PI()*Dashboard!$C$9)-COS(A377*PI()*Dashboard!$C$10))/(A377*PI())</f>
        <v>5.6361777324533645E-4</v>
      </c>
      <c r="C377">
        <f>SUM($B$2:B377)</f>
        <v>1.7147016879594738E-2</v>
      </c>
      <c r="E377">
        <f>2*SIN(A377*PI()*Dashboard!$C$3)*(COS(A377*PI()*Dashboard!$C$11)-COS(A377*PI()*Dashboard!$C$12))/(A377*PI())</f>
        <v>-5.3799183364487864E-4</v>
      </c>
      <c r="F377">
        <f>SUM($E$2:E377)</f>
        <v>0.96410999965366895</v>
      </c>
      <c r="H377">
        <f>2*SIN(A377*PI()*Dashboard!$C$3)*(COS(A377*PI()*Dashboard!$C$13)-COS(A377*PI()*Dashboard!$C$14))/(A377*PI())</f>
        <v>-2.5625939600457866E-5</v>
      </c>
      <c r="I377">
        <f>SUM($H$2:H377)</f>
        <v>1.7197283587521216E-2</v>
      </c>
    </row>
    <row r="378" spans="1:9">
      <c r="A378">
        <v>377</v>
      </c>
      <c r="B378">
        <f>2*SIN(A378*PI()*Dashboard!$C$3)*(COS(A378*PI()*Dashboard!$C$9)-COS(A378*PI()*Dashboard!$C$10))/(A378*PI())</f>
        <v>2.9812211720541574E-3</v>
      </c>
      <c r="C378">
        <f>SUM($B$2:B378)</f>
        <v>2.0128238051648897E-2</v>
      </c>
      <c r="E378">
        <f>2*SIN(A378*PI()*Dashboard!$C$3)*(COS(A378*PI()*Dashboard!$C$11)-COS(A378*PI()*Dashboard!$C$12))/(A378*PI())</f>
        <v>-2.1271623523131987E-3</v>
      </c>
      <c r="F378">
        <f>SUM($E$2:E378)</f>
        <v>0.9619828373013557</v>
      </c>
      <c r="H378">
        <f>2*SIN(A378*PI()*Dashboard!$C$3)*(COS(A378*PI()*Dashboard!$C$13)-COS(A378*PI()*Dashboard!$C$14))/(A378*PI())</f>
        <v>2.4418982456975522E-3</v>
      </c>
      <c r="I378">
        <f>SUM($H$2:H378)</f>
        <v>1.963918183321877E-2</v>
      </c>
    </row>
    <row r="379" spans="1:9">
      <c r="A379">
        <v>378</v>
      </c>
      <c r="B379">
        <f>2*SIN(A379*PI()*Dashboard!$C$3)*(COS(A379*PI()*Dashboard!$C$9)-COS(A379*PI()*Dashboard!$C$10))/(A379*PI())</f>
        <v>1.9130443850085739E-4</v>
      </c>
      <c r="C379">
        <f>SUM($B$2:B379)</f>
        <v>2.0319542490149754E-2</v>
      </c>
      <c r="E379">
        <f>2*SIN(A379*PI()*Dashboard!$C$3)*(COS(A379*PI()*Dashboard!$C$11)-COS(A379*PI()*Dashboard!$C$12))/(A379*PI())</f>
        <v>-8.465154247070604E-6</v>
      </c>
      <c r="F379">
        <f>SUM($E$2:E379)</f>
        <v>0.96197437214710868</v>
      </c>
      <c r="H379">
        <f>2*SIN(A379*PI()*Dashboard!$C$3)*(COS(A379*PI()*Dashboard!$C$13)-COS(A379*PI()*Dashboard!$C$14))/(A379*PI())</f>
        <v>-1.8283928425378676E-4</v>
      </c>
      <c r="I379">
        <f>SUM($H$2:H379)</f>
        <v>1.9456342548964983E-2</v>
      </c>
    </row>
    <row r="380" spans="1:9">
      <c r="A380">
        <v>379</v>
      </c>
      <c r="B380">
        <f>2*SIN(A380*PI()*Dashboard!$C$3)*(COS(A380*PI()*Dashboard!$C$9)-COS(A380*PI()*Dashboard!$C$10))/(A380*PI())</f>
        <v>-1.0920508749717149E-3</v>
      </c>
      <c r="C380">
        <f>SUM($B$2:B380)</f>
        <v>1.922749161517804E-2</v>
      </c>
      <c r="E380">
        <f>2*SIN(A380*PI()*Dashboard!$C$3)*(COS(A380*PI()*Dashboard!$C$11)-COS(A380*PI()*Dashboard!$C$12))/(A380*PI())</f>
        <v>-1.8227819188640869E-3</v>
      </c>
      <c r="F380">
        <f>SUM($E$2:E380)</f>
        <v>0.96015159022824459</v>
      </c>
      <c r="H380">
        <f>2*SIN(A380*PI()*Dashboard!$C$3)*(COS(A380*PI()*Dashboard!$C$13)-COS(A380*PI()*Dashboard!$C$14))/(A380*PI())</f>
        <v>-2.4602895263734387E-4</v>
      </c>
      <c r="I380">
        <f>SUM($H$2:H380)</f>
        <v>1.921031359632764E-2</v>
      </c>
    </row>
    <row r="381" spans="1:9">
      <c r="A381">
        <v>380</v>
      </c>
      <c r="B381">
        <f>2*SIN(A381*PI()*Dashboard!$C$3)*(COS(A381*PI()*Dashboard!$C$9)-COS(A381*PI()*Dashboard!$C$10))/(A381*PI())</f>
        <v>0</v>
      </c>
      <c r="C381">
        <f>SUM($B$2:B381)</f>
        <v>1.922749161517804E-2</v>
      </c>
      <c r="E381">
        <f>2*SIN(A381*PI()*Dashboard!$C$3)*(COS(A381*PI()*Dashboard!$C$11)-COS(A381*PI()*Dashboard!$C$12))/(A381*PI())</f>
        <v>-6.8042862846561338E-4</v>
      </c>
      <c r="F381">
        <f>SUM($E$2:E381)</f>
        <v>0.95947116159977897</v>
      </c>
      <c r="H381">
        <f>2*SIN(A381*PI()*Dashboard!$C$3)*(COS(A381*PI()*Dashboard!$C$13)-COS(A381*PI()*Dashboard!$C$14))/(A381*PI())</f>
        <v>6.8042862846561338E-4</v>
      </c>
      <c r="I381">
        <f>SUM($H$2:H381)</f>
        <v>1.9890742224793253E-2</v>
      </c>
    </row>
    <row r="382" spans="1:9">
      <c r="A382">
        <v>381</v>
      </c>
      <c r="B382">
        <f>2*SIN(A382*PI()*Dashboard!$C$3)*(COS(A382*PI()*Dashboard!$C$9)-COS(A382*PI()*Dashboard!$C$10))/(A382*PI())</f>
        <v>7.0764775467337972E-4</v>
      </c>
      <c r="C382">
        <f>SUM($B$2:B382)</f>
        <v>1.9935139369851418E-2</v>
      </c>
      <c r="E382">
        <f>2*SIN(A382*PI()*Dashboard!$C$3)*(COS(A382*PI()*Dashboard!$C$11)-COS(A382*PI()*Dashboard!$C$12))/(A382*PI())</f>
        <v>-7.0562689282044669E-4</v>
      </c>
      <c r="F382">
        <f>SUM($E$2:E382)</f>
        <v>0.95876553470695847</v>
      </c>
      <c r="H382">
        <f>2*SIN(A382*PI()*Dashboard!$C$3)*(COS(A382*PI()*Dashboard!$C$13)-COS(A382*PI()*Dashboard!$C$14))/(A382*PI())</f>
        <v>2.0462140409240083E-3</v>
      </c>
      <c r="I382">
        <f>SUM($H$2:H382)</f>
        <v>2.1936956265717261E-2</v>
      </c>
    </row>
    <row r="383" spans="1:9">
      <c r="A383">
        <v>382</v>
      </c>
      <c r="B383">
        <f>2*SIN(A383*PI()*Dashboard!$C$3)*(COS(A383*PI()*Dashboard!$C$9)-COS(A383*PI()*Dashboard!$C$10))/(A383*PI())</f>
        <v>2.8030959599510091E-3</v>
      </c>
      <c r="C383">
        <f>SUM($B$2:B383)</f>
        <v>2.2738235329802427E-2</v>
      </c>
      <c r="E383">
        <f>2*SIN(A383*PI()*Dashboard!$C$3)*(COS(A383*PI()*Dashboard!$C$11)-COS(A383*PI()*Dashboard!$C$12))/(A383*PI())</f>
        <v>-1.5439324688681043E-3</v>
      </c>
      <c r="F383">
        <f>SUM($E$2:E383)</f>
        <v>0.95722160223809039</v>
      </c>
      <c r="H383">
        <f>2*SIN(A383*PI()*Dashboard!$C$3)*(COS(A383*PI()*Dashboard!$C$13)-COS(A383*PI()*Dashboard!$C$14))/(A383*PI())</f>
        <v>-1.2591634910829052E-3</v>
      </c>
      <c r="I383">
        <f>SUM($H$2:H383)</f>
        <v>2.0677792774634357E-2</v>
      </c>
    </row>
    <row r="384" spans="1:9">
      <c r="A384">
        <v>383</v>
      </c>
      <c r="B384">
        <f>2*SIN(A384*PI()*Dashboard!$C$3)*(COS(A384*PI()*Dashboard!$C$9)-COS(A384*PI()*Dashboard!$C$10))/(A384*PI())</f>
        <v>-2.8297755215525892E-4</v>
      </c>
      <c r="C384">
        <f>SUM($B$2:B384)</f>
        <v>2.2455257777647168E-2</v>
      </c>
      <c r="E384">
        <f>2*SIN(A384*PI()*Dashboard!$C$3)*(COS(A384*PI()*Dashboard!$C$11)-COS(A384*PI()*Dashboard!$C$12))/(A384*PI())</f>
        <v>-1.4987197906235393E-5</v>
      </c>
      <c r="F384">
        <f>SUM($E$2:E384)</f>
        <v>0.95720661504018412</v>
      </c>
      <c r="H384">
        <f>2*SIN(A384*PI()*Dashboard!$C$3)*(COS(A384*PI()*Dashboard!$C$13)-COS(A384*PI()*Dashboard!$C$14))/(A384*PI())</f>
        <v>-1.4887537158754685E-5</v>
      </c>
      <c r="I384">
        <f>SUM($H$2:H384)</f>
        <v>2.0662905237475604E-2</v>
      </c>
    </row>
    <row r="385" spans="1:9">
      <c r="A385">
        <v>384</v>
      </c>
      <c r="B385">
        <f>2*SIN(A385*PI()*Dashboard!$C$3)*(COS(A385*PI()*Dashboard!$C$9)-COS(A385*PI()*Dashboard!$C$10))/(A385*PI())</f>
        <v>-1.1252648996762434E-3</v>
      </c>
      <c r="C385">
        <f>SUM($B$2:B385)</f>
        <v>2.1329992877970924E-2</v>
      </c>
      <c r="E385">
        <f>2*SIN(A385*PI()*Dashboard!$C$3)*(COS(A385*PI()*Dashboard!$C$11)-COS(A385*PI()*Dashboard!$C$12))/(A385*PI())</f>
        <v>-1.5412778756922318E-3</v>
      </c>
      <c r="F385">
        <f>SUM($E$2:E385)</f>
        <v>0.95566533716449187</v>
      </c>
      <c r="H385">
        <f>2*SIN(A385*PI()*Dashboard!$C$3)*(COS(A385*PI()*Dashboard!$C$13)-COS(A385*PI()*Dashboard!$C$14))/(A385*PI())</f>
        <v>2.6665427753684756E-3</v>
      </c>
      <c r="I385">
        <f>SUM($H$2:H385)</f>
        <v>2.3329448012844079E-2</v>
      </c>
    </row>
    <row r="386" spans="1:9">
      <c r="A386">
        <v>385</v>
      </c>
      <c r="B386">
        <f>2*SIN(A386*PI()*Dashboard!$C$3)*(COS(A386*PI()*Dashboard!$C$9)-COS(A386*PI()*Dashboard!$C$10))/(A386*PI())</f>
        <v>0</v>
      </c>
      <c r="C386">
        <f>SUM($B$2:B386)</f>
        <v>2.1329992877970924E-2</v>
      </c>
      <c r="E386">
        <f>2*SIN(A386*PI()*Dashboard!$C$3)*(COS(A386*PI()*Dashboard!$C$11)-COS(A386*PI()*Dashboard!$C$12))/(A386*PI())</f>
        <v>-3.0944942758948796E-4</v>
      </c>
      <c r="F386">
        <f>SUM($E$2:E386)</f>
        <v>0.95535588773690239</v>
      </c>
      <c r="H386">
        <f>2*SIN(A386*PI()*Dashboard!$C$3)*(COS(A386*PI()*Dashboard!$C$13)-COS(A386*PI()*Dashboard!$C$14))/(A386*PI())</f>
        <v>-1.1919496820272553E-3</v>
      </c>
      <c r="I386">
        <f>SUM($H$2:H386)</f>
        <v>2.2137498330816824E-2</v>
      </c>
    </row>
    <row r="387" spans="1:9">
      <c r="A387">
        <v>386</v>
      </c>
      <c r="B387">
        <f>2*SIN(A387*PI()*Dashboard!$C$3)*(COS(A387*PI()*Dashboard!$C$9)-COS(A387*PI()*Dashboard!$C$10))/(A387*PI())</f>
        <v>8.3074746088788369E-4</v>
      </c>
      <c r="C387">
        <f>SUM($B$2:B387)</f>
        <v>2.2160740338858807E-2</v>
      </c>
      <c r="E387">
        <f>2*SIN(A387*PI()*Dashboard!$C$3)*(COS(A387*PI()*Dashboard!$C$11)-COS(A387*PI()*Dashboard!$C$12))/(A387*PI())</f>
        <v>-7.4631990540815628E-4</v>
      </c>
      <c r="F387">
        <f>SUM($E$2:E387)</f>
        <v>0.9546095678314942</v>
      </c>
      <c r="H387">
        <f>2*SIN(A387*PI()*Dashboard!$C$3)*(COS(A387*PI()*Dashboard!$C$13)-COS(A387*PI()*Dashboard!$C$14))/(A387*PI())</f>
        <v>-8.442755547972733E-5</v>
      </c>
      <c r="I387">
        <f>SUM($H$2:H387)</f>
        <v>2.2053070775337098E-2</v>
      </c>
    </row>
    <row r="388" spans="1:9">
      <c r="A388">
        <v>387</v>
      </c>
      <c r="B388">
        <f>2*SIN(A388*PI()*Dashboard!$C$3)*(COS(A388*PI()*Dashboard!$C$9)-COS(A388*PI()*Dashboard!$C$10))/(A388*PI())</f>
        <v>2.5614436920058012E-3</v>
      </c>
      <c r="C388">
        <f>SUM($B$2:B388)</f>
        <v>2.4722184030864607E-2</v>
      </c>
      <c r="E388">
        <f>2*SIN(A388*PI()*Dashboard!$C$3)*(COS(A388*PI()*Dashboard!$C$11)-COS(A388*PI()*Dashboard!$C$12))/(A388*PI())</f>
        <v>-9.6804920125154105E-4</v>
      </c>
      <c r="F388">
        <f>SUM($E$2:E388)</f>
        <v>0.95364151863024271</v>
      </c>
      <c r="H388">
        <f>2*SIN(A388*PI()*Dashboard!$C$3)*(COS(A388*PI()*Dashboard!$C$13)-COS(A388*PI()*Dashboard!$C$14))/(A388*PI())</f>
        <v>1.23846800691219E-3</v>
      </c>
      <c r="I388">
        <f>SUM($H$2:H388)</f>
        <v>2.3291538782249287E-2</v>
      </c>
    </row>
    <row r="389" spans="1:9">
      <c r="A389">
        <v>388</v>
      </c>
      <c r="B389">
        <f>2*SIN(A389*PI()*Dashboard!$C$3)*(COS(A389*PI()*Dashboard!$C$9)-COS(A389*PI()*Dashboard!$C$10))/(A389*PI())</f>
        <v>-7.3815772551934613E-4</v>
      </c>
      <c r="C389">
        <f>SUM($B$2:B389)</f>
        <v>2.3984026305345262E-2</v>
      </c>
      <c r="E389">
        <f>2*SIN(A389*PI()*Dashboard!$C$3)*(COS(A389*PI()*Dashboard!$C$11)-COS(A389*PI()*Dashboard!$C$12))/(A389*PI())</f>
        <v>-7.4711839259937517E-5</v>
      </c>
      <c r="F389">
        <f>SUM($E$2:E389)</f>
        <v>0.95356680679098282</v>
      </c>
      <c r="H389">
        <f>2*SIN(A389*PI()*Dashboard!$C$3)*(COS(A389*PI()*Dashboard!$C$13)-COS(A389*PI()*Dashboard!$C$14))/(A389*PI())</f>
        <v>8.128695647792837E-4</v>
      </c>
      <c r="I389">
        <f>SUM($H$2:H389)</f>
        <v>2.410440834702857E-2</v>
      </c>
    </row>
    <row r="390" spans="1:9">
      <c r="A390">
        <v>389</v>
      </c>
      <c r="B390">
        <f>2*SIN(A390*PI()*Dashboard!$C$3)*(COS(A390*PI()*Dashboard!$C$9)-COS(A390*PI()*Dashboard!$C$10))/(A390*PI())</f>
        <v>-1.1302734778686659E-3</v>
      </c>
      <c r="C390">
        <f>SUM($B$2:B390)</f>
        <v>2.2853752827476596E-2</v>
      </c>
      <c r="E390">
        <f>2*SIN(A390*PI()*Dashboard!$C$3)*(COS(A390*PI()*Dashboard!$C$11)-COS(A390*PI()*Dashboard!$C$12))/(A390*PI())</f>
        <v>-1.1076323515539985E-3</v>
      </c>
      <c r="F390">
        <f>SUM($E$2:E390)</f>
        <v>0.95245917443942885</v>
      </c>
      <c r="H390">
        <f>2*SIN(A390*PI()*Dashboard!$C$3)*(COS(A390*PI()*Dashboard!$C$13)-COS(A390*PI()*Dashboard!$C$14))/(A390*PI())</f>
        <v>-1.0335884581862621E-3</v>
      </c>
      <c r="I390">
        <f>SUM($H$2:H390)</f>
        <v>2.3070819888842308E-2</v>
      </c>
    </row>
    <row r="391" spans="1:9">
      <c r="A391">
        <v>390</v>
      </c>
      <c r="B391">
        <f>2*SIN(A391*PI()*Dashboard!$C$3)*(COS(A391*PI()*Dashboard!$C$9)-COS(A391*PI()*Dashboard!$C$10))/(A391*PI())</f>
        <v>0</v>
      </c>
      <c r="C391">
        <f>SUM($B$2:B391)</f>
        <v>2.2853752827476596E-2</v>
      </c>
      <c r="E391">
        <f>2*SIN(A391*PI()*Dashboard!$C$3)*(COS(A391*PI()*Dashboard!$C$11)-COS(A391*PI()*Dashboard!$C$12))/(A391*PI())</f>
        <v>-9.633688596105038E-5</v>
      </c>
      <c r="F391">
        <f>SUM($E$2:E391)</f>
        <v>0.95236283755346784</v>
      </c>
      <c r="H391">
        <f>2*SIN(A391*PI()*Dashboard!$C$3)*(COS(A391*PI()*Dashboard!$C$13)-COS(A391*PI()*Dashboard!$C$14))/(A391*PI())</f>
        <v>9.633688596105038E-5</v>
      </c>
      <c r="I391">
        <f>SUM($H$2:H391)</f>
        <v>2.3167156774803358E-2</v>
      </c>
    </row>
    <row r="392" spans="1:9">
      <c r="A392">
        <v>391</v>
      </c>
      <c r="B392">
        <f>2*SIN(A392*PI()*Dashboard!$C$3)*(COS(A392*PI()*Dashboard!$C$9)-COS(A392*PI()*Dashboard!$C$10))/(A392*PI())</f>
        <v>9.3050466004369035E-4</v>
      </c>
      <c r="C392">
        <f>SUM($B$2:B392)</f>
        <v>2.3784257487520288E-2</v>
      </c>
      <c r="E392">
        <f>2*SIN(A392*PI()*Dashboard!$C$3)*(COS(A392*PI()*Dashboard!$C$11)-COS(A392*PI()*Dashboard!$C$12))/(A392*PI())</f>
        <v>-6.2146884400030196E-4</v>
      </c>
      <c r="F392">
        <f>SUM($E$2:E392)</f>
        <v>0.95174136870946757</v>
      </c>
      <c r="H392">
        <f>2*SIN(A392*PI()*Dashboard!$C$3)*(COS(A392*PI()*Dashboard!$C$13)-COS(A392*PI()*Dashboard!$C$14))/(A392*PI())</f>
        <v>2.3842421733392995E-3</v>
      </c>
      <c r="I392">
        <f>SUM($H$2:H392)</f>
        <v>2.5551398948142658E-2</v>
      </c>
    </row>
    <row r="393" spans="1:9">
      <c r="A393">
        <v>392</v>
      </c>
      <c r="B393">
        <f>2*SIN(A393*PI()*Dashboard!$C$3)*(COS(A393*PI()*Dashboard!$C$9)-COS(A393*PI()*Dashboard!$C$10))/(A393*PI())</f>
        <v>2.2636892582526833E-3</v>
      </c>
      <c r="C393">
        <f>SUM($B$2:B393)</f>
        <v>2.604794674577297E-2</v>
      </c>
      <c r="E393">
        <f>2*SIN(A393*PI()*Dashboard!$C$3)*(COS(A393*PI()*Dashboard!$C$11)-COS(A393*PI()*Dashboard!$C$12))/(A393*PI())</f>
        <v>-4.795593816452619E-4</v>
      </c>
      <c r="F393">
        <f>SUM($E$2:E393)</f>
        <v>0.95126180932782234</v>
      </c>
      <c r="H393">
        <f>2*SIN(A393*PI()*Dashboard!$C$3)*(COS(A393*PI()*Dashboard!$C$13)-COS(A393*PI()*Dashboard!$C$14))/(A393*PI())</f>
        <v>-1.7841298766074216E-3</v>
      </c>
      <c r="I393">
        <f>SUM($H$2:H393)</f>
        <v>2.3767269071535237E-2</v>
      </c>
    </row>
    <row r="394" spans="1:9">
      <c r="A394">
        <v>393</v>
      </c>
      <c r="B394">
        <f>2*SIN(A394*PI()*Dashboard!$C$3)*(COS(A394*PI()*Dashboard!$C$9)-COS(A394*PI()*Dashboard!$C$10))/(A394*PI())</f>
        <v>-1.1638110586277305E-3</v>
      </c>
      <c r="C394">
        <f>SUM($B$2:B394)</f>
        <v>2.4884135687145238E-2</v>
      </c>
      <c r="E394">
        <f>2*SIN(A394*PI()*Dashboard!$C$3)*(COS(A394*PI()*Dashboard!$C$11)-COS(A394*PI()*Dashboard!$C$12))/(A394*PI())</f>
        <v>-1.1147150143018834E-4</v>
      </c>
      <c r="F394">
        <f>SUM($E$2:E394)</f>
        <v>0.95115033782639213</v>
      </c>
      <c r="H394">
        <f>2*SIN(A394*PI()*Dashboard!$C$3)*(COS(A394*PI()*Dashboard!$C$13)-COS(A394*PI()*Dashboard!$C$14))/(A394*PI())</f>
        <v>-1.1395301174473925E-5</v>
      </c>
      <c r="I394">
        <f>SUM($H$2:H394)</f>
        <v>2.3755873770360762E-2</v>
      </c>
    </row>
    <row r="395" spans="1:9">
      <c r="A395">
        <v>394</v>
      </c>
      <c r="B395">
        <f>2*SIN(A395*PI()*Dashboard!$C$3)*(COS(A395*PI()*Dashboard!$C$9)-COS(A395*PI()*Dashboard!$C$10))/(A395*PI())</f>
        <v>-1.1076770369471717E-3</v>
      </c>
      <c r="C395">
        <f>SUM($B$2:B395)</f>
        <v>2.3776458650198066E-2</v>
      </c>
      <c r="E395">
        <f>2*SIN(A395*PI()*Dashboard!$C$3)*(COS(A395*PI()*Dashboard!$C$11)-COS(A395*PI()*Dashboard!$C$12))/(A395*PI())</f>
        <v>-5.9602427550812056E-4</v>
      </c>
      <c r="F395">
        <f>SUM($E$2:E395)</f>
        <v>0.95055431355088404</v>
      </c>
      <c r="H395">
        <f>2*SIN(A395*PI()*Dashboard!$C$3)*(COS(A395*PI()*Dashboard!$C$13)-COS(A395*PI()*Dashboard!$C$14))/(A395*PI())</f>
        <v>1.7037013124552921E-3</v>
      </c>
      <c r="I395">
        <f>SUM($H$2:H395)</f>
        <v>2.5459575082816054E-2</v>
      </c>
    </row>
    <row r="396" spans="1:9">
      <c r="A396">
        <v>395</v>
      </c>
      <c r="B396">
        <f>2*SIN(A396*PI()*Dashboard!$C$3)*(COS(A396*PI()*Dashboard!$C$9)-COS(A396*PI()*Dashboard!$C$10))/(A396*PI())</f>
        <v>0</v>
      </c>
      <c r="C396">
        <f>SUM($B$2:B396)</f>
        <v>2.3776458650198066E-2</v>
      </c>
      <c r="E396">
        <f>2*SIN(A396*PI()*Dashboard!$C$3)*(COS(A396*PI()*Dashboard!$C$11)-COS(A396*PI()*Dashboard!$C$12))/(A396*PI())</f>
        <v>-1.2339863255493947E-5</v>
      </c>
      <c r="F396">
        <f>SUM($E$2:E396)</f>
        <v>0.95054197368762861</v>
      </c>
      <c r="H396">
        <f>2*SIN(A396*PI()*Dashboard!$C$3)*(COS(A396*PI()*Dashboard!$C$13)-COS(A396*PI()*Dashboard!$C$14))/(A396*PI())</f>
        <v>-4.9190962294388887E-4</v>
      </c>
      <c r="I396">
        <f>SUM($H$2:H396)</f>
        <v>2.4967665459872165E-2</v>
      </c>
    </row>
    <row r="397" spans="1:9">
      <c r="A397">
        <v>396</v>
      </c>
      <c r="B397">
        <f>2*SIN(A397*PI()*Dashboard!$C$3)*(COS(A397*PI()*Dashboard!$C$9)-COS(A397*PI()*Dashboard!$C$10))/(A397*PI())</f>
        <v>1.0051199194652013E-3</v>
      </c>
      <c r="C397">
        <f>SUM($B$2:B397)</f>
        <v>2.4781578569663266E-2</v>
      </c>
      <c r="E397">
        <f>2*SIN(A397*PI()*Dashboard!$C$3)*(COS(A397*PI()*Dashboard!$C$11)-COS(A397*PI()*Dashboard!$C$12))/(A397*PI())</f>
        <v>-3.2992280079426647E-4</v>
      </c>
      <c r="F397">
        <f>SUM($E$2:E397)</f>
        <v>0.95021205088683436</v>
      </c>
      <c r="H397">
        <f>2*SIN(A397*PI()*Dashboard!$C$3)*(COS(A397*PI()*Dashboard!$C$13)-COS(A397*PI()*Dashboard!$C$14))/(A397*PI())</f>
        <v>-6.7519711867093483E-4</v>
      </c>
      <c r="I397">
        <f>SUM($H$2:H397)</f>
        <v>2.4292468341201232E-2</v>
      </c>
    </row>
    <row r="398" spans="1:9">
      <c r="A398">
        <v>397</v>
      </c>
      <c r="B398">
        <f>2*SIN(A398*PI()*Dashboard!$C$3)*(COS(A398*PI()*Dashboard!$C$9)-COS(A398*PI()*Dashboard!$C$10))/(A398*PI())</f>
        <v>1.9183974032374828E-3</v>
      </c>
      <c r="C398">
        <f>SUM($B$2:B398)</f>
        <v>2.669997597290075E-2</v>
      </c>
      <c r="E398">
        <f>2*SIN(A398*PI()*Dashboard!$C$3)*(COS(A398*PI()*Dashboard!$C$11)-COS(A398*PI()*Dashboard!$C$12))/(A398*PI())</f>
        <v>-1.3199583614688818E-4</v>
      </c>
      <c r="F398">
        <f>SUM($E$2:E398)</f>
        <v>0.95008005505068749</v>
      </c>
      <c r="H398">
        <f>2*SIN(A398*PI()*Dashboard!$C$3)*(COS(A398*PI()*Dashboard!$C$13)-COS(A398*PI()*Dashboard!$C$14))/(A398*PI())</f>
        <v>3.3452643878520357E-4</v>
      </c>
      <c r="I398">
        <f>SUM($H$2:H398)</f>
        <v>2.4626994779986436E-2</v>
      </c>
    </row>
    <row r="399" spans="1:9">
      <c r="A399">
        <v>398</v>
      </c>
      <c r="B399">
        <f>2*SIN(A399*PI()*Dashboard!$C$3)*(COS(A399*PI()*Dashboard!$C$9)-COS(A399*PI()*Dashboard!$C$10))/(A399*PI())</f>
        <v>-1.5504727048306368E-3</v>
      </c>
      <c r="C399">
        <f>SUM($B$2:B399)</f>
        <v>2.5149503268070115E-2</v>
      </c>
      <c r="E399">
        <f>2*SIN(A399*PI()*Dashboard!$C$3)*(COS(A399*PI()*Dashboard!$C$11)-COS(A399*PI()*Dashboard!$C$12))/(A399*PI())</f>
        <v>-5.7672659389400225E-5</v>
      </c>
      <c r="F399">
        <f>SUM($E$2:E399)</f>
        <v>0.9500223823912981</v>
      </c>
      <c r="H399">
        <f>2*SIN(A399*PI()*Dashboard!$C$3)*(COS(A399*PI()*Dashboard!$C$13)-COS(A399*PI()*Dashboard!$C$14))/(A399*PI())</f>
        <v>1.6081453642200366E-3</v>
      </c>
      <c r="I399">
        <f>SUM($H$2:H399)</f>
        <v>2.6235140144206474E-2</v>
      </c>
    </row>
    <row r="400" spans="1:9">
      <c r="A400">
        <v>399</v>
      </c>
      <c r="B400">
        <f>2*SIN(A400*PI()*Dashboard!$C$3)*(COS(A400*PI()*Dashboard!$C$9)-COS(A400*PI()*Dashboard!$C$10))/(A400*PI())</f>
        <v>-1.0587140260769903E-3</v>
      </c>
      <c r="C400">
        <f>SUM($B$2:B400)</f>
        <v>2.4090789241993125E-2</v>
      </c>
      <c r="E400">
        <f>2*SIN(A400*PI()*Dashboard!$C$3)*(COS(A400*PI()*Dashboard!$C$11)-COS(A400*PI()*Dashboard!$C$12))/(A400*PI())</f>
        <v>-9.2432308806409113E-5</v>
      </c>
      <c r="F400">
        <f>SUM($E$2:E400)</f>
        <v>0.9499299500824917</v>
      </c>
      <c r="H400">
        <f>2*SIN(A400*PI()*Dashboard!$C$3)*(COS(A400*PI()*Dashboard!$C$13)-COS(A400*PI()*Dashboard!$C$14))/(A400*PI())</f>
        <v>-1.9132243296864826E-3</v>
      </c>
      <c r="I400">
        <f>SUM($H$2:H400)</f>
        <v>2.4321915814519993E-2</v>
      </c>
    </row>
    <row r="401" spans="1:9">
      <c r="A401">
        <v>400</v>
      </c>
      <c r="B401">
        <f>2*SIN(A401*PI()*Dashboard!$C$3)*(COS(A401*PI()*Dashboard!$C$9)-COS(A401*PI()*Dashboard!$C$10))/(A401*PI())</f>
        <v>0</v>
      </c>
      <c r="C401">
        <f>SUM($B$2:B401)</f>
        <v>2.4090789241993125E-2</v>
      </c>
      <c r="E401">
        <f>2*SIN(A401*PI()*Dashboard!$C$3)*(COS(A401*PI()*Dashboard!$C$11)-COS(A401*PI()*Dashboard!$C$12))/(A401*PI())</f>
        <v>0</v>
      </c>
      <c r="F401">
        <f>SUM($E$2:E401)</f>
        <v>0.9499299500824917</v>
      </c>
      <c r="H401">
        <f>2*SIN(A401*PI()*Dashboard!$C$3)*(COS(A401*PI()*Dashboard!$C$13)-COS(A401*PI()*Dashboard!$C$14))/(A401*PI())</f>
        <v>0</v>
      </c>
      <c r="I401">
        <f>SUM($H$2:H401)</f>
        <v>2.4321915814519993E-2</v>
      </c>
    </row>
    <row r="402" spans="1:9">
      <c r="A402">
        <v>401</v>
      </c>
      <c r="B402">
        <f>2*SIN(A402*PI()*Dashboard!$C$3)*(COS(A402*PI()*Dashboard!$C$9)-COS(A402*PI()*Dashboard!$C$10))/(A402*PI())</f>
        <v>1.0534336568693633E-3</v>
      </c>
      <c r="C402">
        <f>SUM($B$2:B402)</f>
        <v>2.5144222898862489E-2</v>
      </c>
      <c r="E402">
        <f>2*SIN(A402*PI()*Dashboard!$C$3)*(COS(A402*PI()*Dashboard!$C$11)-COS(A402*PI()*Dashboard!$C$12))/(A402*PI())</f>
        <v>9.1971299785004334E-5</v>
      </c>
      <c r="F402">
        <f>SUM($E$2:E402)</f>
        <v>0.9500219213822767</v>
      </c>
      <c r="H402">
        <f>2*SIN(A402*PI()*Dashboard!$C$3)*(COS(A402*PI()*Dashboard!$C$13)-COS(A402*PI()*Dashboard!$C$14))/(A402*PI())</f>
        <v>1.9036820637030843E-3</v>
      </c>
      <c r="I402">
        <f>SUM($H$2:H402)</f>
        <v>2.6225597878223077E-2</v>
      </c>
    </row>
    <row r="403" spans="1:9">
      <c r="A403">
        <v>402</v>
      </c>
      <c r="B403">
        <f>2*SIN(A403*PI()*Dashboard!$C$3)*(COS(A403*PI()*Dashboard!$C$9)-COS(A403*PI()*Dashboard!$C$10))/(A403*PI())</f>
        <v>1.5350451157280997E-3</v>
      </c>
      <c r="C403">
        <f>SUM($B$2:B403)</f>
        <v>2.6679268014590588E-2</v>
      </c>
      <c r="E403">
        <f>2*SIN(A403*PI()*Dashboard!$C$3)*(COS(A403*PI()*Dashboard!$C$11)-COS(A403*PI()*Dashboard!$C$12))/(A403*PI())</f>
        <v>5.709880208210857E-5</v>
      </c>
      <c r="F403">
        <f>SUM($E$2:E403)</f>
        <v>0.95007902018435886</v>
      </c>
      <c r="H403">
        <f>2*SIN(A403*PI()*Dashboard!$C$3)*(COS(A403*PI()*Dashboard!$C$13)-COS(A403*PI()*Dashboard!$C$14))/(A403*PI())</f>
        <v>-1.5921439178102086E-3</v>
      </c>
      <c r="I403">
        <f>SUM($H$2:H403)</f>
        <v>2.463345396041287E-2</v>
      </c>
    </row>
    <row r="404" spans="1:9">
      <c r="A404">
        <v>403</v>
      </c>
      <c r="B404">
        <f>2*SIN(A404*PI()*Dashboard!$C$3)*(COS(A404*PI()*Dashboard!$C$9)-COS(A404*PI()*Dashboard!$C$10))/(A404*PI())</f>
        <v>-1.8898356552983226E-3</v>
      </c>
      <c r="C404">
        <f>SUM($B$2:B404)</f>
        <v>2.4789432359292266E-2</v>
      </c>
      <c r="E404">
        <f>2*SIN(A404*PI()*Dashboard!$C$3)*(COS(A404*PI()*Dashboard!$C$11)-COS(A404*PI()*Dashboard!$C$12))/(A404*PI())</f>
        <v>1.3003063759386841E-4</v>
      </c>
      <c r="F404">
        <f>SUM($E$2:E404)</f>
        <v>0.95020905082195273</v>
      </c>
      <c r="H404">
        <f>2*SIN(A404*PI()*Dashboard!$C$3)*(COS(A404*PI()*Dashboard!$C$13)-COS(A404*PI()*Dashboard!$C$14))/(A404*PI())</f>
        <v>-3.29545896272151E-4</v>
      </c>
      <c r="I404">
        <f>SUM($H$2:H404)</f>
        <v>2.430390806414072E-2</v>
      </c>
    </row>
    <row r="405" spans="1:9">
      <c r="A405">
        <v>404</v>
      </c>
      <c r="B405">
        <f>2*SIN(A405*PI()*Dashboard!$C$3)*(COS(A405*PI()*Dashboard!$C$9)-COS(A405*PI()*Dashboard!$C$10))/(A405*PI())</f>
        <v>-9.8521655472347844E-4</v>
      </c>
      <c r="C405">
        <f>SUM($B$2:B405)</f>
        <v>2.3804215804568787E-2</v>
      </c>
      <c r="E405">
        <f>2*SIN(A405*PI()*Dashboard!$C$3)*(COS(A405*PI()*Dashboard!$C$11)-COS(A405*PI()*Dashboard!$C$12))/(A405*PI())</f>
        <v>3.2338967602608596E-4</v>
      </c>
      <c r="F405">
        <f>SUM($E$2:E405)</f>
        <v>0.9505324404979788</v>
      </c>
      <c r="H405">
        <f>2*SIN(A405*PI()*Dashboard!$C$3)*(COS(A405*PI()*Dashboard!$C$13)-COS(A405*PI()*Dashboard!$C$14))/(A405*PI())</f>
        <v>6.6182687869739232E-4</v>
      </c>
      <c r="I405">
        <f>SUM($H$2:H405)</f>
        <v>2.4965734942838113E-2</v>
      </c>
    </row>
    <row r="406" spans="1:9">
      <c r="A406">
        <v>405</v>
      </c>
      <c r="B406">
        <f>2*SIN(A406*PI()*Dashboard!$C$3)*(COS(A406*PI()*Dashboard!$C$9)-COS(A406*PI()*Dashboard!$C$10))/(A406*PI())</f>
        <v>0</v>
      </c>
      <c r="C406">
        <f>SUM($B$2:B406)</f>
        <v>2.3804215804568787E-2</v>
      </c>
      <c r="E406">
        <f>2*SIN(A406*PI()*Dashboard!$C$3)*(COS(A406*PI()*Dashboard!$C$11)-COS(A406*PI()*Dashboard!$C$12))/(A406*PI())</f>
        <v>1.2035175273851174E-5</v>
      </c>
      <c r="F406">
        <f>SUM($E$2:E406)</f>
        <v>0.95054447567325262</v>
      </c>
      <c r="H406">
        <f>2*SIN(A406*PI()*Dashboard!$C$3)*(COS(A406*PI()*Dashboard!$C$13)-COS(A406*PI()*Dashboard!$C$14))/(A406*PI())</f>
        <v>4.7976370632762651E-4</v>
      </c>
      <c r="I406">
        <f>SUM($H$2:H406)</f>
        <v>2.5445498649165739E-2</v>
      </c>
    </row>
    <row r="407" spans="1:9">
      <c r="A407">
        <v>406</v>
      </c>
      <c r="B407">
        <f>2*SIN(A407*PI()*Dashboard!$C$3)*(COS(A407*PI()*Dashboard!$C$9)-COS(A407*PI()*Dashboard!$C$10))/(A407*PI())</f>
        <v>1.0749378141799249E-3</v>
      </c>
      <c r="C407">
        <f>SUM($B$2:B407)</f>
        <v>2.4879153618748713E-2</v>
      </c>
      <c r="E407">
        <f>2*SIN(A407*PI()*Dashboard!$C$3)*(COS(A407*PI()*Dashboard!$C$11)-COS(A407*PI()*Dashboard!$C$12))/(A407*PI())</f>
        <v>5.7840779445876437E-4</v>
      </c>
      <c r="F407">
        <f>SUM($E$2:E407)</f>
        <v>0.95112288346771134</v>
      </c>
      <c r="H407">
        <f>2*SIN(A407*PI()*Dashboard!$C$3)*(COS(A407*PI()*Dashboard!$C$13)-COS(A407*PI()*Dashboard!$C$14))/(A407*PI())</f>
        <v>-1.6533456086386892E-3</v>
      </c>
      <c r="I407">
        <f>SUM($H$2:H407)</f>
        <v>2.379215304052705E-2</v>
      </c>
    </row>
    <row r="408" spans="1:9">
      <c r="A408">
        <v>407</v>
      </c>
      <c r="B408">
        <f>2*SIN(A408*PI()*Dashboard!$C$3)*(COS(A408*PI()*Dashboard!$C$9)-COS(A408*PI()*Dashboard!$C$10))/(A408*PI())</f>
        <v>1.1237782458002365E-3</v>
      </c>
      <c r="C408">
        <f>SUM($B$2:B408)</f>
        <v>2.600293186454895E-2</v>
      </c>
      <c r="E408">
        <f>2*SIN(A408*PI()*Dashboard!$C$3)*(COS(A408*PI()*Dashboard!$C$11)-COS(A408*PI()*Dashboard!$C$12))/(A408*PI())</f>
        <v>1.0763710088963192E-4</v>
      </c>
      <c r="F408">
        <f>SUM($E$2:E408)</f>
        <v>0.95123052056860102</v>
      </c>
      <c r="H408">
        <f>2*SIN(A408*PI()*Dashboard!$C$3)*(COS(A408*PI()*Dashboard!$C$13)-COS(A408*PI()*Dashboard!$C$14))/(A408*PI())</f>
        <v>1.1003325212696914E-5</v>
      </c>
      <c r="I408">
        <f>SUM($H$2:H408)</f>
        <v>2.3803156365739746E-2</v>
      </c>
    </row>
    <row r="409" spans="1:9">
      <c r="A409">
        <v>408</v>
      </c>
      <c r="B409">
        <f>2*SIN(A409*PI()*Dashboard!$C$3)*(COS(A409*PI()*Dashboard!$C$9)-COS(A409*PI()*Dashboard!$C$10))/(A409*PI())</f>
        <v>-2.1749171304778483E-3</v>
      </c>
      <c r="C409">
        <f>SUM($B$2:B409)</f>
        <v>2.3828014734071101E-2</v>
      </c>
      <c r="E409">
        <f>2*SIN(A409*PI()*Dashboard!$C$3)*(COS(A409*PI()*Dashboard!$C$11)-COS(A409*PI()*Dashboard!$C$12))/(A409*PI())</f>
        <v>4.6075313138459537E-4</v>
      </c>
      <c r="F409">
        <f>SUM($E$2:E409)</f>
        <v>0.95169127369998563</v>
      </c>
      <c r="H409">
        <f>2*SIN(A409*PI()*Dashboard!$C$3)*(COS(A409*PI()*Dashboard!$C$13)-COS(A409*PI()*Dashboard!$C$14))/(A409*PI())</f>
        <v>1.7141639990932529E-3</v>
      </c>
      <c r="I409">
        <f>SUM($H$2:H409)</f>
        <v>2.5517320364833E-2</v>
      </c>
    </row>
    <row r="410" spans="1:9">
      <c r="A410">
        <v>409</v>
      </c>
      <c r="B410">
        <f>2*SIN(A410*PI()*Dashboard!$C$3)*(COS(A410*PI()*Dashboard!$C$9)-COS(A410*PI()*Dashboard!$C$10))/(A410*PI())</f>
        <v>-8.895533547117493E-4</v>
      </c>
      <c r="C410">
        <f>SUM($B$2:B410)</f>
        <v>2.293846137935935E-2</v>
      </c>
      <c r="E410">
        <f>2*SIN(A410*PI()*Dashboard!$C$3)*(COS(A410*PI()*Dashboard!$C$11)-COS(A410*PI()*Dashboard!$C$12))/(A410*PI())</f>
        <v>5.9411813692944958E-4</v>
      </c>
      <c r="F410">
        <f>SUM($E$2:E410)</f>
        <v>0.95228539183691507</v>
      </c>
      <c r="H410">
        <f>2*SIN(A410*PI()*Dashboard!$C$3)*(COS(A410*PI()*Dashboard!$C$13)-COS(A410*PI()*Dashboard!$C$14))/(A410*PI())</f>
        <v>-2.2793121999405345E-3</v>
      </c>
      <c r="I410">
        <f>SUM($H$2:H410)</f>
        <v>2.3238008164892465E-2</v>
      </c>
    </row>
    <row r="411" spans="1:9">
      <c r="A411">
        <v>410</v>
      </c>
      <c r="B411">
        <f>2*SIN(A411*PI()*Dashboard!$C$3)*(COS(A411*PI()*Dashboard!$C$9)-COS(A411*PI()*Dashboard!$C$10))/(A411*PI())</f>
        <v>0</v>
      </c>
      <c r="C411">
        <f>SUM($B$2:B411)</f>
        <v>2.293846137935935E-2</v>
      </c>
      <c r="E411">
        <f>2*SIN(A411*PI()*Dashboard!$C$3)*(COS(A411*PI()*Dashboard!$C$11)-COS(A411*PI()*Dashboard!$C$12))/(A411*PI())</f>
        <v>9.1637525670188372E-5</v>
      </c>
      <c r="F411">
        <f>SUM($E$2:E411)</f>
        <v>0.95237702936258528</v>
      </c>
      <c r="H411">
        <f>2*SIN(A411*PI()*Dashboard!$C$3)*(COS(A411*PI()*Dashboard!$C$13)-COS(A411*PI()*Dashboard!$C$14))/(A411*PI())</f>
        <v>-9.1637525670188372E-5</v>
      </c>
      <c r="I411">
        <f>SUM($H$2:H411)</f>
        <v>2.3146370639222275E-2</v>
      </c>
    </row>
    <row r="412" spans="1:9">
      <c r="A412">
        <v>411</v>
      </c>
      <c r="B412">
        <f>2*SIN(A412*PI()*Dashboard!$C$3)*(COS(A412*PI()*Dashboard!$C$9)-COS(A412*PI()*Dashboard!$C$10))/(A412*PI())</f>
        <v>1.0697722211457116E-3</v>
      </c>
      <c r="C412">
        <f>SUM($B$2:B412)</f>
        <v>2.4008233600505063E-2</v>
      </c>
      <c r="E412">
        <f>2*SIN(A412*PI()*Dashboard!$C$3)*(COS(A412*PI()*Dashboard!$C$11)-COS(A412*PI()*Dashboard!$C$12))/(A412*PI())</f>
        <v>1.0483430285998505E-3</v>
      </c>
      <c r="F412">
        <f>SUM($E$2:E412)</f>
        <v>0.95342537239118508</v>
      </c>
      <c r="H412">
        <f>2*SIN(A412*PI()*Dashboard!$C$3)*(COS(A412*PI()*Dashboard!$C$13)-COS(A412*PI()*Dashboard!$C$14))/(A412*PI())</f>
        <v>9.7826255531495584E-4</v>
      </c>
      <c r="I412">
        <f>SUM($H$2:H412)</f>
        <v>2.412463319453723E-2</v>
      </c>
    </row>
    <row r="413" spans="1:9">
      <c r="A413">
        <v>412</v>
      </c>
      <c r="B413">
        <f>2*SIN(A413*PI()*Dashboard!$C$3)*(COS(A413*PI()*Dashboard!$C$9)-COS(A413*PI()*Dashboard!$C$10))/(A413*PI())</f>
        <v>6.9515824636333845E-4</v>
      </c>
      <c r="C413">
        <f>SUM($B$2:B413)</f>
        <v>2.47033918468684E-2</v>
      </c>
      <c r="E413">
        <f>2*SIN(A413*PI()*Dashboard!$C$3)*(COS(A413*PI()*Dashboard!$C$11)-COS(A413*PI()*Dashboard!$C$12))/(A413*PI())</f>
        <v>7.0359693283722458E-5</v>
      </c>
      <c r="F413">
        <f>SUM($E$2:E413)</f>
        <v>0.95349573208446881</v>
      </c>
      <c r="H413">
        <f>2*SIN(A413*PI()*Dashboard!$C$3)*(COS(A413*PI()*Dashboard!$C$13)-COS(A413*PI()*Dashboard!$C$14))/(A413*PI())</f>
        <v>-7.6551793964706096E-4</v>
      </c>
      <c r="I413">
        <f>SUM($H$2:H413)</f>
        <v>2.3359115254890168E-2</v>
      </c>
    </row>
    <row r="414" spans="1:9">
      <c r="A414">
        <v>413</v>
      </c>
      <c r="B414">
        <f>2*SIN(A414*PI()*Dashboard!$C$3)*(COS(A414*PI()*Dashboard!$C$9)-COS(A414*PI()*Dashboard!$C$10))/(A414*PI())</f>
        <v>-2.4001905782234561E-3</v>
      </c>
      <c r="C414">
        <f>SUM($B$2:B414)</f>
        <v>2.2303201268644945E-2</v>
      </c>
      <c r="E414">
        <f>2*SIN(A414*PI()*Dashboard!$C$3)*(COS(A414*PI()*Dashboard!$C$11)-COS(A414*PI()*Dashboard!$C$12))/(A414*PI())</f>
        <v>9.0710663652389986E-4</v>
      </c>
      <c r="F414">
        <f>SUM($E$2:E414)</f>
        <v>0.95440283872099274</v>
      </c>
      <c r="H414">
        <f>2*SIN(A414*PI()*Dashboard!$C$3)*(COS(A414*PI()*Dashboard!$C$13)-COS(A414*PI()*Dashboard!$C$14))/(A414*PI())</f>
        <v>-1.1605014980024014E-3</v>
      </c>
      <c r="I414">
        <f>SUM($H$2:H414)</f>
        <v>2.2198613756887767E-2</v>
      </c>
    </row>
    <row r="415" spans="1:9">
      <c r="A415">
        <v>414</v>
      </c>
      <c r="B415">
        <f>2*SIN(A415*PI()*Dashboard!$C$3)*(COS(A415*PI()*Dashboard!$C$9)-COS(A415*PI()*Dashboard!$C$10))/(A415*PI())</f>
        <v>-7.7456164227746515E-4</v>
      </c>
      <c r="C415">
        <f>SUM($B$2:B415)</f>
        <v>2.1528639626367481E-2</v>
      </c>
      <c r="E415">
        <f>2*SIN(A415*PI()*Dashboard!$C$3)*(COS(A415*PI()*Dashboard!$C$11)-COS(A415*PI()*Dashboard!$C$12))/(A415*PI())</f>
        <v>6.9584416301368072E-4</v>
      </c>
      <c r="F415">
        <f>SUM($E$2:E415)</f>
        <v>0.95509868288400646</v>
      </c>
      <c r="H415">
        <f>2*SIN(A415*PI()*Dashboard!$C$3)*(COS(A415*PI()*Dashboard!$C$13)-COS(A415*PI()*Dashboard!$C$14))/(A415*PI())</f>
        <v>7.871747926378446E-5</v>
      </c>
      <c r="I415">
        <f>SUM($H$2:H415)</f>
        <v>2.2277331236151551E-2</v>
      </c>
    </row>
    <row r="416" spans="1:9">
      <c r="A416">
        <v>415</v>
      </c>
      <c r="B416">
        <f>2*SIN(A416*PI()*Dashboard!$C$3)*(COS(A416*PI()*Dashboard!$C$9)-COS(A416*PI()*Dashboard!$C$10))/(A416*PI())</f>
        <v>0</v>
      </c>
      <c r="C416">
        <f>SUM($B$2:B416)</f>
        <v>2.1528639626367481E-2</v>
      </c>
      <c r="E416">
        <f>2*SIN(A416*PI()*Dashboard!$C$3)*(COS(A416*PI()*Dashboard!$C$11)-COS(A416*PI()*Dashboard!$C$12))/(A416*PI())</f>
        <v>2.8707958945049106E-4</v>
      </c>
      <c r="F416">
        <f>SUM($E$2:E416)</f>
        <v>0.95538576247345697</v>
      </c>
      <c r="H416">
        <f>2*SIN(A416*PI()*Dashboard!$C$3)*(COS(A416*PI()*Dashboard!$C$13)-COS(A416*PI()*Dashboard!$C$14))/(A416*PI())</f>
        <v>1.1057846447722387E-3</v>
      </c>
      <c r="I416">
        <f>SUM($H$2:H416)</f>
        <v>2.3383115880923788E-2</v>
      </c>
    </row>
    <row r="417" spans="1:9">
      <c r="A417">
        <v>416</v>
      </c>
      <c r="B417">
        <f>2*SIN(A417*PI()*Dashboard!$C$3)*(COS(A417*PI()*Dashboard!$C$9)-COS(A417*PI()*Dashboard!$C$10))/(A417*PI())</f>
        <v>1.0387060612394856E-3</v>
      </c>
      <c r="C417">
        <f>SUM($B$2:B417)</f>
        <v>2.2567345687606967E-2</v>
      </c>
      <c r="E417">
        <f>2*SIN(A417*PI()*Dashboard!$C$3)*(COS(A417*PI()*Dashboard!$C$11)-COS(A417*PI()*Dashboard!$C$12))/(A417*PI())</f>
        <v>1.4227180391006959E-3</v>
      </c>
      <c r="F417">
        <f>SUM($E$2:E417)</f>
        <v>0.95680848051255762</v>
      </c>
      <c r="H417">
        <f>2*SIN(A417*PI()*Dashboard!$C$3)*(COS(A417*PI()*Dashboard!$C$13)-COS(A417*PI()*Dashboard!$C$14))/(A417*PI())</f>
        <v>-2.4614241003401813E-3</v>
      </c>
      <c r="I417">
        <f>SUM($H$2:H417)</f>
        <v>2.0921691780583607E-2</v>
      </c>
    </row>
    <row r="418" spans="1:9">
      <c r="A418">
        <v>417</v>
      </c>
      <c r="B418">
        <f>2*SIN(A418*PI()*Dashboard!$C$3)*(COS(A418*PI()*Dashboard!$C$9)-COS(A418*PI()*Dashboard!$C$10))/(A418*PI())</f>
        <v>2.599050419079199E-4</v>
      </c>
      <c r="C418">
        <f>SUM($B$2:B418)</f>
        <v>2.2827250729514886E-2</v>
      </c>
      <c r="E418">
        <f>2*SIN(A418*PI()*Dashboard!$C$3)*(COS(A418*PI()*Dashboard!$C$11)-COS(A418*PI()*Dashboard!$C$12))/(A418*PI())</f>
        <v>1.3765220139337321E-5</v>
      </c>
      <c r="F418">
        <f>SUM($E$2:E418)</f>
        <v>0.95682224573269692</v>
      </c>
      <c r="H418">
        <f>2*SIN(A418*PI()*Dashboard!$C$3)*(COS(A418*PI()*Dashboard!$C$13)-COS(A418*PI()*Dashboard!$C$14))/(A418*PI())</f>
        <v>1.3673685208172924E-5</v>
      </c>
      <c r="I418">
        <f>SUM($H$2:H418)</f>
        <v>2.0935365465791781E-2</v>
      </c>
    </row>
    <row r="419" spans="1:9">
      <c r="A419">
        <v>418</v>
      </c>
      <c r="B419">
        <f>2*SIN(A419*PI()*Dashboard!$C$3)*(COS(A419*PI()*Dashboard!$C$9)-COS(A419*PI()*Dashboard!$C$10))/(A419*PI())</f>
        <v>-2.5616809968929911E-3</v>
      </c>
      <c r="C419">
        <f>SUM($B$2:B419)</f>
        <v>2.0265569732621894E-2</v>
      </c>
      <c r="E419">
        <f>2*SIN(A419*PI()*Dashboard!$C$3)*(COS(A419*PI()*Dashboard!$C$11)-COS(A419*PI()*Dashboard!$C$12))/(A419*PI())</f>
        <v>1.4109622083914415E-3</v>
      </c>
      <c r="F419">
        <f>SUM($E$2:E419)</f>
        <v>0.95823320794108835</v>
      </c>
      <c r="H419">
        <f>2*SIN(A419*PI()*Dashboard!$C$3)*(COS(A419*PI()*Dashboard!$C$13)-COS(A419*PI()*Dashboard!$C$14))/(A419*PI())</f>
        <v>1.1507187885015492E-3</v>
      </c>
      <c r="I419">
        <f>SUM($H$2:H419)</f>
        <v>2.2086084254293332E-2</v>
      </c>
    </row>
    <row r="420" spans="1:9">
      <c r="A420">
        <v>419</v>
      </c>
      <c r="B420">
        <f>2*SIN(A420*PI()*Dashboard!$C$3)*(COS(A420*PI()*Dashboard!$C$9)-COS(A420*PI()*Dashboard!$C$10))/(A420*PI())</f>
        <v>-6.4346967668414798E-4</v>
      </c>
      <c r="C420">
        <f>SUM($B$2:B420)</f>
        <v>1.9622100055937747E-2</v>
      </c>
      <c r="E420">
        <f>2*SIN(A420*PI()*Dashboard!$C$3)*(COS(A420*PI()*Dashboard!$C$11)-COS(A420*PI()*Dashboard!$C$12))/(A420*PI())</f>
        <v>6.4163209108517429E-4</v>
      </c>
      <c r="F420">
        <f>SUM($E$2:E420)</f>
        <v>0.95887484003217349</v>
      </c>
      <c r="H420">
        <f>2*SIN(A420*PI()*Dashboard!$C$3)*(COS(A420*PI()*Dashboard!$C$13)-COS(A420*PI()*Dashboard!$C$14))/(A420*PI())</f>
        <v>-1.8606385431794053E-3</v>
      </c>
      <c r="I420">
        <f>SUM($H$2:H420)</f>
        <v>2.0225445711113926E-2</v>
      </c>
    </row>
    <row r="421" spans="1:9">
      <c r="A421">
        <v>420</v>
      </c>
      <c r="B421">
        <f>2*SIN(A421*PI()*Dashboard!$C$3)*(COS(A421*PI()*Dashboard!$C$9)-COS(A421*PI()*Dashboard!$C$10))/(A421*PI())</f>
        <v>0</v>
      </c>
      <c r="C421">
        <f>SUM($B$2:B421)</f>
        <v>1.9622100055937747E-2</v>
      </c>
      <c r="E421">
        <f>2*SIN(A421*PI()*Dashboard!$C$3)*(COS(A421*PI()*Dashboard!$C$11)-COS(A421*PI()*Dashboard!$C$12))/(A421*PI())</f>
        <v>6.1562590194498578E-4</v>
      </c>
      <c r="F421">
        <f>SUM($E$2:E421)</f>
        <v>0.95949046593411846</v>
      </c>
      <c r="H421">
        <f>2*SIN(A421*PI()*Dashboard!$C$3)*(COS(A421*PI()*Dashboard!$C$13)-COS(A421*PI()*Dashboard!$C$14))/(A421*PI())</f>
        <v>-6.1562590194498578E-4</v>
      </c>
      <c r="I421">
        <f>SUM($H$2:H421)</f>
        <v>1.9609819809168941E-2</v>
      </c>
    </row>
    <row r="422" spans="1:9">
      <c r="A422">
        <v>421</v>
      </c>
      <c r="B422">
        <f>2*SIN(A422*PI()*Dashboard!$C$3)*(COS(A422*PI()*Dashboard!$C$9)-COS(A422*PI()*Dashboard!$C$10))/(A422*PI())</f>
        <v>9.831051819815769E-4</v>
      </c>
      <c r="C422">
        <f>SUM($B$2:B422)</f>
        <v>2.0605205237919325E-2</v>
      </c>
      <c r="E422">
        <f>2*SIN(A422*PI()*Dashboard!$C$3)*(COS(A422*PI()*Dashboard!$C$11)-COS(A422*PI()*Dashboard!$C$12))/(A422*PI())</f>
        <v>1.6409366918040977E-3</v>
      </c>
      <c r="F422">
        <f>SUM($E$2:E422)</f>
        <v>0.96113140262592256</v>
      </c>
      <c r="H422">
        <f>2*SIN(A422*PI()*Dashboard!$C$3)*(COS(A422*PI()*Dashboard!$C$13)-COS(A422*PI()*Dashboard!$C$14))/(A422*PI())</f>
        <v>2.2148449655488649E-4</v>
      </c>
      <c r="I422">
        <f>SUM($H$2:H422)</f>
        <v>1.9831304305723826E-2</v>
      </c>
    </row>
    <row r="423" spans="1:9">
      <c r="A423">
        <v>422</v>
      </c>
      <c r="B423">
        <f>2*SIN(A423*PI()*Dashboard!$C$3)*(COS(A423*PI()*Dashboard!$C$9)-COS(A423*PI()*Dashboard!$C$10))/(A423*PI())</f>
        <v>-1.7135800415460419E-4</v>
      </c>
      <c r="C423">
        <f>SUM($B$2:B423)</f>
        <v>2.0433847233764721E-2</v>
      </c>
      <c r="E423">
        <f>2*SIN(A423*PI()*Dashboard!$C$3)*(COS(A423*PI()*Dashboard!$C$11)-COS(A423*PI()*Dashboard!$C$12))/(A423*PI())</f>
        <v>7.5825315293502678E-6</v>
      </c>
      <c r="F423">
        <f>SUM($E$2:E423)</f>
        <v>0.96113898515745189</v>
      </c>
      <c r="H423">
        <f>2*SIN(A423*PI()*Dashboard!$C$3)*(COS(A423*PI()*Dashboard!$C$13)-COS(A423*PI()*Dashboard!$C$14))/(A423*PI())</f>
        <v>1.6377547262525397E-4</v>
      </c>
      <c r="I423">
        <f>SUM($H$2:H423)</f>
        <v>1.9995079778349079E-2</v>
      </c>
    </row>
    <row r="424" spans="1:9">
      <c r="A424">
        <v>423</v>
      </c>
      <c r="B424">
        <f>2*SIN(A424*PI()*Dashboard!$C$3)*(COS(A424*PI()*Dashboard!$C$9)-COS(A424*PI()*Dashboard!$C$10))/(A424*PI())</f>
        <v>-2.6570221793486104E-3</v>
      </c>
      <c r="C424">
        <f>SUM($B$2:B424)</f>
        <v>1.777682505441611E-2</v>
      </c>
      <c r="E424">
        <f>2*SIN(A424*PI()*Dashboard!$C$3)*(COS(A424*PI()*Dashboard!$C$11)-COS(A424*PI()*Dashboard!$C$12))/(A424*PI())</f>
        <v>1.8958397324398246E-3</v>
      </c>
      <c r="F424">
        <f>SUM($E$2:E424)</f>
        <v>0.96303482488989167</v>
      </c>
      <c r="H424">
        <f>2*SIN(A424*PI()*Dashboard!$C$3)*(COS(A424*PI()*Dashboard!$C$13)-COS(A424*PI()*Dashboard!$C$14))/(A424*PI())</f>
        <v>-2.1763490274890477E-3</v>
      </c>
      <c r="I424">
        <f>SUM($H$2:H424)</f>
        <v>1.7818730750860032E-2</v>
      </c>
    </row>
    <row r="425" spans="1:9">
      <c r="A425">
        <v>424</v>
      </c>
      <c r="B425">
        <f>2*SIN(A425*PI()*Dashboard!$C$3)*(COS(A425*PI()*Dashboard!$C$9)-COS(A425*PI()*Dashboard!$C$10))/(A425*PI())</f>
        <v>-4.9981198759504943E-4</v>
      </c>
      <c r="C425">
        <f>SUM($B$2:B425)</f>
        <v>1.727701306682106E-2</v>
      </c>
      <c r="E425">
        <f>2*SIN(A425*PI()*Dashboard!$C$3)*(COS(A425*PI()*Dashboard!$C$11)-COS(A425*PI()*Dashboard!$C$12))/(A425*PI())</f>
        <v>4.7708709776069609E-4</v>
      </c>
      <c r="F425">
        <f>SUM($E$2:E425)</f>
        <v>0.9635119119876524</v>
      </c>
      <c r="H425">
        <f>2*SIN(A425*PI()*Dashboard!$C$3)*(COS(A425*PI()*Dashboard!$C$13)-COS(A425*PI()*Dashboard!$C$14))/(A425*PI())</f>
        <v>2.2724889834353467E-5</v>
      </c>
      <c r="I425">
        <f>SUM($H$2:H425)</f>
        <v>1.7841455640694386E-2</v>
      </c>
    </row>
    <row r="426" spans="1:9">
      <c r="A426">
        <v>425</v>
      </c>
      <c r="B426">
        <f>2*SIN(A426*PI()*Dashboard!$C$3)*(COS(A426*PI()*Dashboard!$C$9)-COS(A426*PI()*Dashboard!$C$10))/(A426*PI())</f>
        <v>0</v>
      </c>
      <c r="C426">
        <f>SUM($B$2:B426)</f>
        <v>1.727701306682106E-2</v>
      </c>
      <c r="E426">
        <f>2*SIN(A426*PI()*Dashboard!$C$3)*(COS(A426*PI()*Dashboard!$C$11)-COS(A426*PI()*Dashboard!$C$12))/(A426*PI())</f>
        <v>1.0591956660670392E-3</v>
      </c>
      <c r="F426">
        <f>SUM($E$2:E426)</f>
        <v>0.96457110765371945</v>
      </c>
      <c r="H426">
        <f>2*SIN(A426*PI()*Dashboard!$C$3)*(COS(A426*PI()*Dashboard!$C$13)-COS(A426*PI()*Dashboard!$C$14))/(A426*PI())</f>
        <v>1.0591956660671417E-3</v>
      </c>
      <c r="I426">
        <f>SUM($H$2:H426)</f>
        <v>1.8900651306761527E-2</v>
      </c>
    </row>
    <row r="427" spans="1:9">
      <c r="A427">
        <v>426</v>
      </c>
      <c r="B427">
        <f>2*SIN(A427*PI()*Dashboard!$C$3)*(COS(A427*PI()*Dashboard!$C$9)-COS(A427*PI()*Dashboard!$C$10))/(A427*PI())</f>
        <v>9.0488629874739199E-4</v>
      </c>
      <c r="C427">
        <f>SUM($B$2:B427)</f>
        <v>1.8181899365568452E-2</v>
      </c>
      <c r="E427">
        <f>2*SIN(A427*PI()*Dashboard!$C$3)*(COS(A427*PI()*Dashboard!$C$11)-COS(A427*PI()*Dashboard!$C$12))/(A427*PI())</f>
        <v>1.6730988556615865E-3</v>
      </c>
      <c r="F427">
        <f>SUM($E$2:E427)</f>
        <v>0.96624420650938103</v>
      </c>
      <c r="H427">
        <f>2*SIN(A427*PI()*Dashboard!$C$3)*(COS(A427*PI()*Dashboard!$C$13)-COS(A427*PI()*Dashboard!$C$14))/(A427*PI())</f>
        <v>-2.5779851544089787E-3</v>
      </c>
      <c r="I427">
        <f>SUM($H$2:H427)</f>
        <v>1.6322666152352547E-2</v>
      </c>
    </row>
    <row r="428" spans="1:9">
      <c r="A428">
        <v>427</v>
      </c>
      <c r="B428">
        <f>2*SIN(A428*PI()*Dashboard!$C$3)*(COS(A428*PI()*Dashboard!$C$9)-COS(A428*PI()*Dashboard!$C$10))/(A428*PI())</f>
        <v>-5.8835121783277101E-4</v>
      </c>
      <c r="C428">
        <f>SUM($B$2:B428)</f>
        <v>1.7593548147735682E-2</v>
      </c>
      <c r="E428">
        <f>2*SIN(A428*PI()*Dashboard!$C$3)*(COS(A428*PI()*Dashboard!$C$11)-COS(A428*PI()*Dashboard!$C$12))/(A428*PI())</f>
        <v>1.0643668557757015E-4</v>
      </c>
      <c r="F428">
        <f>SUM($E$2:E428)</f>
        <v>0.96635064319495856</v>
      </c>
      <c r="H428">
        <f>2*SIN(A428*PI()*Dashboard!$C$3)*(COS(A428*PI()*Dashboard!$C$13)-COS(A428*PI()*Dashboard!$C$14))/(A428*PI())</f>
        <v>-1.6855057632279608E-4</v>
      </c>
      <c r="I428">
        <f>SUM($H$2:H428)</f>
        <v>1.6154115576029752E-2</v>
      </c>
    </row>
    <row r="429" spans="1:9">
      <c r="A429">
        <v>428</v>
      </c>
      <c r="B429">
        <f>2*SIN(A429*PI()*Dashboard!$C$3)*(COS(A429*PI()*Dashboard!$C$9)-COS(A429*PI()*Dashboard!$C$10))/(A429*PI())</f>
        <v>-2.6854753671686597E-3</v>
      </c>
      <c r="C429">
        <f>SUM($B$2:B429)</f>
        <v>1.4908072780567022E-2</v>
      </c>
      <c r="E429">
        <f>2*SIN(A429*PI()*Dashboard!$C$3)*(COS(A429*PI()*Dashboard!$C$11)-COS(A429*PI()*Dashboard!$C$12))/(A429*PI())</f>
        <v>2.2831308468833377E-3</v>
      </c>
      <c r="F429">
        <f>SUM($E$2:E429)</f>
        <v>0.96863377404184192</v>
      </c>
      <c r="H429">
        <f>2*SIN(A429*PI()*Dashboard!$C$3)*(COS(A429*PI()*Dashboard!$C$13)-COS(A429*PI()*Dashboard!$C$14))/(A429*PI())</f>
        <v>4.0234452028532243E-4</v>
      </c>
      <c r="I429">
        <f>SUM($H$2:H429)</f>
        <v>1.6556460096315076E-2</v>
      </c>
    </row>
    <row r="430" spans="1:9">
      <c r="A430">
        <v>429</v>
      </c>
      <c r="B430">
        <f>2*SIN(A430*PI()*Dashboard!$C$3)*(COS(A430*PI()*Dashboard!$C$9)-COS(A430*PI()*Dashboard!$C$10))/(A430*PI())</f>
        <v>-3.4733937124874242E-4</v>
      </c>
      <c r="C430">
        <f>SUM($B$2:B430)</f>
        <v>1.456073340931828E-2</v>
      </c>
      <c r="E430">
        <f>2*SIN(A430*PI()*Dashboard!$C$3)*(COS(A430*PI()*Dashboard!$C$11)-COS(A430*PI()*Dashboard!$C$12))/(A430*PI())</f>
        <v>2.6908702634742993E-4</v>
      </c>
      <c r="F430">
        <f>SUM($E$2:E430)</f>
        <v>0.96890286106818935</v>
      </c>
      <c r="H430">
        <f>2*SIN(A430*PI()*Dashboard!$C$3)*(COS(A430*PI()*Dashboard!$C$13)-COS(A430*PI()*Dashboard!$C$14))/(A430*PI())</f>
        <v>-9.2709617574588201E-4</v>
      </c>
      <c r="I430">
        <f>SUM($H$2:H430)</f>
        <v>1.5629363920569194E-2</v>
      </c>
    </row>
    <row r="431" spans="1:9">
      <c r="A431">
        <v>430</v>
      </c>
      <c r="B431">
        <f>2*SIN(A431*PI()*Dashboard!$C$3)*(COS(A431*PI()*Dashboard!$C$9)-COS(A431*PI()*Dashboard!$C$10))/(A431*PI())</f>
        <v>0</v>
      </c>
      <c r="C431">
        <f>SUM($B$2:B431)</f>
        <v>1.456073340931828E-2</v>
      </c>
      <c r="E431">
        <f>2*SIN(A431*PI()*Dashboard!$C$3)*(COS(A431*PI()*Dashboard!$C$11)-COS(A431*PI()*Dashboard!$C$12))/(A431*PI())</f>
        <v>1.5678864137029817E-3</v>
      </c>
      <c r="F431">
        <f>SUM($E$2:E431)</f>
        <v>0.97047074748189233</v>
      </c>
      <c r="H431">
        <f>2*SIN(A431*PI()*Dashboard!$C$3)*(COS(A431*PI()*Dashboard!$C$13)-COS(A431*PI()*Dashboard!$C$14))/(A431*PI())</f>
        <v>-1.5678864137029817E-3</v>
      </c>
      <c r="I431">
        <f>SUM($H$2:H431)</f>
        <v>1.4061477506866212E-2</v>
      </c>
    </row>
    <row r="432" spans="1:9">
      <c r="A432">
        <v>431</v>
      </c>
      <c r="B432">
        <f>2*SIN(A432*PI()*Dashboard!$C$3)*(COS(A432*PI()*Dashboard!$C$9)-COS(A432*PI()*Dashboard!$C$10))/(A432*PI())</f>
        <v>8.0645941877245816E-4</v>
      </c>
      <c r="C432">
        <f>SUM($B$2:B432)</f>
        <v>1.5367192828090738E-2</v>
      </c>
      <c r="E432">
        <f>2*SIN(A432*PI()*Dashboard!$C$3)*(COS(A432*PI()*Dashboard!$C$11)-COS(A432*PI()*Dashboard!$C$12))/(A432*PI())</f>
        <v>1.5254756085480894E-3</v>
      </c>
      <c r="F432">
        <f>SUM($E$2:E432)</f>
        <v>0.97199622309044043</v>
      </c>
      <c r="H432">
        <f>2*SIN(A432*PI()*Dashboard!$C$3)*(COS(A432*PI()*Dashboard!$C$13)-COS(A432*PI()*Dashboard!$C$14))/(A432*PI())</f>
        <v>2.303042812716875E-6</v>
      </c>
      <c r="I432">
        <f>SUM($H$2:H432)</f>
        <v>1.4063780549678929E-2</v>
      </c>
    </row>
    <row r="433" spans="1:9">
      <c r="A433">
        <v>432</v>
      </c>
      <c r="B433">
        <f>2*SIN(A433*PI()*Dashboard!$C$3)*(COS(A433*PI()*Dashboard!$C$9)-COS(A433*PI()*Dashboard!$C$10))/(A433*PI())</f>
        <v>-9.8137232667296482E-4</v>
      </c>
      <c r="C433">
        <f>SUM($B$2:B433)</f>
        <v>1.4385820501417774E-2</v>
      </c>
      <c r="E433">
        <f>2*SIN(A433*PI()*Dashboard!$C$3)*(COS(A433*PI()*Dashboard!$C$11)-COS(A433*PI()*Dashboard!$C$12))/(A433*PI())</f>
        <v>3.3723069231215324E-4</v>
      </c>
      <c r="F433">
        <f>SUM($E$2:E433)</f>
        <v>0.9723334537827526</v>
      </c>
      <c r="H433">
        <f>2*SIN(A433*PI()*Dashboard!$C$3)*(COS(A433*PI()*Dashboard!$C$13)-COS(A433*PI()*Dashboard!$C$14))/(A433*PI())</f>
        <v>6.4414163436081169E-4</v>
      </c>
      <c r="I433">
        <f>SUM($H$2:H433)</f>
        <v>1.470792218403974E-2</v>
      </c>
    </row>
    <row r="434" spans="1:9">
      <c r="A434">
        <v>433</v>
      </c>
      <c r="B434">
        <f>2*SIN(A434*PI()*Dashboard!$C$3)*(COS(A434*PI()*Dashboard!$C$9)-COS(A434*PI()*Dashboard!$C$10))/(A434*PI())</f>
        <v>-2.6479096931454203E-3</v>
      </c>
      <c r="C434">
        <f>SUM($B$2:B434)</f>
        <v>1.1737910808272354E-2</v>
      </c>
      <c r="E434">
        <f>2*SIN(A434*PI()*Dashboard!$C$3)*(COS(A434*PI()*Dashboard!$C$11)-COS(A434*PI()*Dashboard!$C$12))/(A434*PI())</f>
        <v>2.5086023394366693E-3</v>
      </c>
      <c r="F434">
        <f>SUM($E$2:E434)</f>
        <v>0.97484205612218922</v>
      </c>
      <c r="H434">
        <f>2*SIN(A434*PI()*Dashboard!$C$3)*(COS(A434*PI()*Dashboard!$C$13)-COS(A434*PI()*Dashboard!$C$14))/(A434*PI())</f>
        <v>-2.7881496037205147E-3</v>
      </c>
      <c r="I434">
        <f>SUM($H$2:H434)</f>
        <v>1.1919772580319225E-2</v>
      </c>
    </row>
    <row r="435" spans="1:9">
      <c r="A435">
        <v>434</v>
      </c>
      <c r="B435">
        <f>2*SIN(A435*PI()*Dashboard!$C$3)*(COS(A435*PI()*Dashboard!$C$9)-COS(A435*PI()*Dashboard!$C$10))/(A435*PI())</f>
        <v>-1.8992583356625866E-4</v>
      </c>
      <c r="C435">
        <f>SUM($B$2:B435)</f>
        <v>1.1547984974706096E-2</v>
      </c>
      <c r="E435">
        <f>2*SIN(A435*PI()*Dashboard!$C$3)*(COS(A435*PI()*Dashboard!$C$11)-COS(A435*PI()*Dashboard!$C$12))/(A435*PI())</f>
        <v>9.0267013569956541E-5</v>
      </c>
      <c r="F435">
        <f>SUM($E$2:E435)</f>
        <v>0.97493232313575917</v>
      </c>
      <c r="H435">
        <f>2*SIN(A435*PI()*Dashboard!$C$3)*(COS(A435*PI()*Dashboard!$C$13)-COS(A435*PI()*Dashboard!$C$14))/(A435*PI())</f>
        <v>9.9658819996302115E-5</v>
      </c>
      <c r="I435">
        <f>SUM($H$2:H435)</f>
        <v>1.2019431400315528E-2</v>
      </c>
    </row>
    <row r="436" spans="1:9">
      <c r="A436">
        <v>435</v>
      </c>
      <c r="B436">
        <f>2*SIN(A436*PI()*Dashboard!$C$3)*(COS(A436*PI()*Dashboard!$C$9)-COS(A436*PI()*Dashboard!$C$10))/(A436*PI())</f>
        <v>0</v>
      </c>
      <c r="C436">
        <f>SUM($B$2:B436)</f>
        <v>1.1547984974706096E-2</v>
      </c>
      <c r="E436">
        <f>2*SIN(A436*PI()*Dashboard!$C$3)*(COS(A436*PI()*Dashboard!$C$11)-COS(A436*PI()*Dashboard!$C$12))/(A436*PI())</f>
        <v>2.0704441210859905E-3</v>
      </c>
      <c r="F436">
        <f>SUM($E$2:E436)</f>
        <v>0.97700276725684521</v>
      </c>
      <c r="H436">
        <f>2*SIN(A436*PI()*Dashboard!$C$3)*(COS(A436*PI()*Dashboard!$C$13)-COS(A436*PI()*Dashboard!$C$14))/(A436*PI())</f>
        <v>5.3752080124421604E-4</v>
      </c>
      <c r="I436">
        <f>SUM($H$2:H436)</f>
        <v>1.2556952201559744E-2</v>
      </c>
    </row>
    <row r="437" spans="1:9">
      <c r="A437">
        <v>436</v>
      </c>
      <c r="B437">
        <f>2*SIN(A437*PI()*Dashboard!$C$3)*(COS(A437*PI()*Dashboard!$C$9)-COS(A437*PI()*Dashboard!$C$10))/(A437*PI())</f>
        <v>6.9066005467128102E-4</v>
      </c>
      <c r="C437">
        <f>SUM($B$2:B437)</f>
        <v>1.2238645029377377E-2</v>
      </c>
      <c r="E437">
        <f>2*SIN(A437*PI()*Dashboard!$C$3)*(COS(A437*PI()*Dashboard!$C$11)-COS(A437*PI()*Dashboard!$C$12))/(A437*PI())</f>
        <v>1.2382144941918993E-3</v>
      </c>
      <c r="F437">
        <f>SUM($E$2:E437)</f>
        <v>0.97824098175103713</v>
      </c>
      <c r="H437">
        <f>2*SIN(A437*PI()*Dashboard!$C$3)*(COS(A437*PI()*Dashboard!$C$13)-COS(A437*PI()*Dashboard!$C$14))/(A437*PI())</f>
        <v>-1.9288745488631805E-3</v>
      </c>
      <c r="I437">
        <f>SUM($H$2:H437)</f>
        <v>1.0628077652696563E-2</v>
      </c>
    </row>
    <row r="438" spans="1:9">
      <c r="A438">
        <v>437</v>
      </c>
      <c r="B438">
        <f>2*SIN(A438*PI()*Dashboard!$C$3)*(COS(A438*PI()*Dashboard!$C$9)-COS(A438*PI()*Dashboard!$C$10))/(A438*PI())</f>
        <v>-1.3415116571290036E-3</v>
      </c>
      <c r="C438">
        <f>SUM($B$2:B438)</f>
        <v>1.0897133372248373E-2</v>
      </c>
      <c r="E438">
        <f>2*SIN(A438*PI()*Dashboard!$C$3)*(COS(A438*PI()*Dashboard!$C$11)-COS(A438*PI()*Dashboard!$C$12))/(A438*PI())</f>
        <v>6.9288554309832203E-4</v>
      </c>
      <c r="F438">
        <f>SUM($E$2:E438)</f>
        <v>0.97893386729413545</v>
      </c>
      <c r="H438">
        <f>2*SIN(A438*PI()*Dashboard!$C$3)*(COS(A438*PI()*Dashboard!$C$13)-COS(A438*PI()*Dashboard!$C$14))/(A438*PI())</f>
        <v>-8.3451269704780916E-4</v>
      </c>
      <c r="I438">
        <f>SUM($H$2:H438)</f>
        <v>9.793564955648754E-3</v>
      </c>
    </row>
    <row r="439" spans="1:9">
      <c r="A439">
        <v>438</v>
      </c>
      <c r="B439">
        <f>2*SIN(A439*PI()*Dashboard!$C$3)*(COS(A439*PI()*Dashboard!$C$9)-COS(A439*PI()*Dashboard!$C$10))/(A439*PI())</f>
        <v>-2.5467456543012889E-3</v>
      </c>
      <c r="C439">
        <f>SUM($B$2:B439)</f>
        <v>8.3503877179470845E-3</v>
      </c>
      <c r="E439">
        <f>2*SIN(A439*PI()*Dashboard!$C$3)*(COS(A439*PI()*Dashboard!$C$11)-COS(A439*PI()*Dashboard!$C$12))/(A439*PI())</f>
        <v>2.5356446805555113E-3</v>
      </c>
      <c r="F439">
        <f>SUM($E$2:E439)</f>
        <v>0.98146951197469101</v>
      </c>
      <c r="H439">
        <f>2*SIN(A439*PI()*Dashboard!$C$3)*(COS(A439*PI()*Dashboard!$C$13)-COS(A439*PI()*Dashboard!$C$14))/(A439*PI())</f>
        <v>1.1100973745777467E-5</v>
      </c>
      <c r="I439">
        <f>SUM($H$2:H439)</f>
        <v>9.8046659293945307E-3</v>
      </c>
    </row>
    <row r="440" spans="1:9">
      <c r="A440">
        <v>439</v>
      </c>
      <c r="B440">
        <f>2*SIN(A440*PI()*Dashboard!$C$3)*(COS(A440*PI()*Dashboard!$C$9)-COS(A440*PI()*Dashboard!$C$10))/(A440*PI())</f>
        <v>-3.1474685607587173E-5</v>
      </c>
      <c r="C440">
        <f>SUM($B$2:B440)</f>
        <v>8.3189130323394981E-3</v>
      </c>
      <c r="E440">
        <f>2*SIN(A440*PI()*Dashboard!$C$3)*(COS(A440*PI()*Dashboard!$C$11)-COS(A440*PI()*Dashboard!$C$12))/(A440*PI())</f>
        <v>2.6923843273844452E-6</v>
      </c>
      <c r="F440">
        <f>SUM($E$2:E440)</f>
        <v>0.98147220435901839</v>
      </c>
      <c r="H440">
        <f>2*SIN(A440*PI()*Dashboard!$C$3)*(COS(A440*PI()*Dashboard!$C$13)-COS(A440*PI()*Dashboard!$C$14))/(A440*PI())</f>
        <v>-6.2318884570567695E-5</v>
      </c>
      <c r="I440">
        <f>SUM($H$2:H440)</f>
        <v>9.7423470448239624E-3</v>
      </c>
    </row>
    <row r="441" spans="1:9">
      <c r="A441">
        <v>440</v>
      </c>
      <c r="B441">
        <f>2*SIN(A441*PI()*Dashboard!$C$3)*(COS(A441*PI()*Dashboard!$C$9)-COS(A441*PI()*Dashboard!$C$10))/(A441*PI())</f>
        <v>0</v>
      </c>
      <c r="C441">
        <f>SUM($B$2:B441)</f>
        <v>8.3189130323394981E-3</v>
      </c>
      <c r="E441">
        <f>2*SIN(A441*PI()*Dashboard!$C$3)*(COS(A441*PI()*Dashboard!$C$11)-COS(A441*PI()*Dashboard!$C$12))/(A441*PI())</f>
        <v>2.489295298014733E-3</v>
      </c>
      <c r="F441">
        <f>SUM($E$2:E441)</f>
        <v>0.98396149965703317</v>
      </c>
      <c r="H441">
        <f>2*SIN(A441*PI()*Dashboard!$C$3)*(COS(A441*PI()*Dashboard!$C$13)-COS(A441*PI()*Dashboard!$C$14))/(A441*PI())</f>
        <v>-2.489295298014733E-3</v>
      </c>
      <c r="I441">
        <f>SUM($H$2:H441)</f>
        <v>7.253051746809229E-3</v>
      </c>
    </row>
    <row r="442" spans="1:9">
      <c r="A442">
        <v>441</v>
      </c>
      <c r="B442">
        <f>2*SIN(A442*PI()*Dashboard!$C$3)*(COS(A442*PI()*Dashboard!$C$9)-COS(A442*PI()*Dashboard!$C$10))/(A442*PI())</f>
        <v>5.6067299945234642E-4</v>
      </c>
      <c r="C442">
        <f>SUM($B$2:B442)</f>
        <v>8.8795860317918453E-3</v>
      </c>
      <c r="E442">
        <f>2*SIN(A442*PI()*Dashboard!$C$3)*(COS(A442*PI()*Dashboard!$C$11)-COS(A442*PI()*Dashboard!$C$12))/(A442*PI())</f>
        <v>8.7594550247369627E-4</v>
      </c>
      <c r="F442">
        <f>SUM($E$2:E442)</f>
        <v>0.98483744515950689</v>
      </c>
      <c r="H442">
        <f>2*SIN(A442*PI()*Dashboard!$C$3)*(COS(A442*PI()*Dashboard!$C$13)-COS(A442*PI()*Dashboard!$C$14))/(A442*PI())</f>
        <v>1.8620867294859622E-4</v>
      </c>
      <c r="I442">
        <f>SUM($H$2:H442)</f>
        <v>7.4392604197578253E-3</v>
      </c>
    </row>
    <row r="443" spans="1:9">
      <c r="A443">
        <v>442</v>
      </c>
      <c r="B443">
        <f>2*SIN(A443*PI()*Dashboard!$C$3)*(COS(A443*PI()*Dashboard!$C$9)-COS(A443*PI()*Dashboard!$C$10))/(A443*PI())</f>
        <v>-1.6608442401777322E-3</v>
      </c>
      <c r="C443">
        <f>SUM($B$2:B443)</f>
        <v>7.2187417916141135E-3</v>
      </c>
      <c r="E443">
        <f>2*SIN(A443*PI()*Dashboard!$C$3)*(COS(A443*PI()*Dashboard!$C$11)-COS(A443*PI()*Dashboard!$C$12))/(A443*PI())</f>
        <v>1.1336567349411791E-3</v>
      </c>
      <c r="F443">
        <f>SUM($E$2:E443)</f>
        <v>0.98597110189444803</v>
      </c>
      <c r="H443">
        <f>2*SIN(A443*PI()*Dashboard!$C$3)*(COS(A443*PI()*Dashboard!$C$13)-COS(A443*PI()*Dashboard!$C$14))/(A443*PI())</f>
        <v>5.2718750523655293E-4</v>
      </c>
      <c r="I443">
        <f>SUM($H$2:H443)</f>
        <v>7.9664479249943777E-3</v>
      </c>
    </row>
    <row r="444" spans="1:9">
      <c r="A444">
        <v>443</v>
      </c>
      <c r="B444">
        <f>2*SIN(A444*PI()*Dashboard!$C$3)*(COS(A444*PI()*Dashboard!$C$9)-COS(A444*PI()*Dashboard!$C$10))/(A444*PI())</f>
        <v>-2.3858636781494734E-3</v>
      </c>
      <c r="C444">
        <f>SUM($B$2:B444)</f>
        <v>4.8328781134646401E-3</v>
      </c>
      <c r="E444">
        <f>2*SIN(A444*PI()*Dashboard!$C$3)*(COS(A444*PI()*Dashboard!$C$11)-COS(A444*PI()*Dashboard!$C$12))/(A444*PI())</f>
        <v>2.3625028113041209E-3</v>
      </c>
      <c r="F444">
        <f>SUM($E$2:E444)</f>
        <v>0.98833360470575216</v>
      </c>
      <c r="H444">
        <f>2*SIN(A444*PI()*Dashboard!$C$3)*(COS(A444*PI()*Dashboard!$C$13)-COS(A444*PI()*Dashboard!$C$14))/(A444*PI())</f>
        <v>-2.6143851416975355E-3</v>
      </c>
      <c r="I444">
        <f>SUM($H$2:H444)</f>
        <v>5.3520627832968418E-3</v>
      </c>
    </row>
    <row r="445" spans="1:9">
      <c r="A445">
        <v>444</v>
      </c>
      <c r="B445">
        <f>2*SIN(A445*PI()*Dashboard!$C$3)*(COS(A445*PI()*Dashboard!$C$9)-COS(A445*PI()*Dashboard!$C$10))/(A445*PI())</f>
        <v>1.2417402641667826E-4</v>
      </c>
      <c r="C445">
        <f>SUM($B$2:B445)</f>
        <v>4.9570521398813183E-3</v>
      </c>
      <c r="E445">
        <f>2*SIN(A445*PI()*Dashboard!$C$3)*(COS(A445*PI()*Dashboard!$C$11)-COS(A445*PI()*Dashboard!$C$12))/(A445*PI())</f>
        <v>4.4248458418021724E-5</v>
      </c>
      <c r="F445">
        <f>SUM($E$2:E445)</f>
        <v>0.98837785316417015</v>
      </c>
      <c r="H445">
        <f>2*SIN(A445*PI()*Dashboard!$C$3)*(COS(A445*PI()*Dashboard!$C$13)-COS(A445*PI()*Dashboard!$C$14))/(A445*PI())</f>
        <v>-1.6842248483469997E-4</v>
      </c>
      <c r="I445">
        <f>SUM($H$2:H445)</f>
        <v>5.1836402984621419E-3</v>
      </c>
    </row>
    <row r="446" spans="1:9">
      <c r="A446">
        <v>445</v>
      </c>
      <c r="B446">
        <f>2*SIN(A446*PI()*Dashboard!$C$3)*(COS(A446*PI()*Dashboard!$C$9)-COS(A446*PI()*Dashboard!$C$10))/(A446*PI())</f>
        <v>0</v>
      </c>
      <c r="C446">
        <f>SUM($B$2:B446)</f>
        <v>4.9570521398813183E-3</v>
      </c>
      <c r="E446">
        <f>2*SIN(A446*PI()*Dashboard!$C$3)*(COS(A446*PI()*Dashboard!$C$11)-COS(A446*PI()*Dashboard!$C$12))/(A446*PI())</f>
        <v>2.7568293823439778E-3</v>
      </c>
      <c r="F446">
        <f>SUM($E$2:E446)</f>
        <v>0.99113468254651416</v>
      </c>
      <c r="H446">
        <f>2*SIN(A446*PI()*Dashboard!$C$3)*(COS(A446*PI()*Dashboard!$C$13)-COS(A446*PI()*Dashboard!$C$14))/(A446*PI())</f>
        <v>6.9156804441560511E-5</v>
      </c>
      <c r="I446">
        <f>SUM($H$2:H446)</f>
        <v>5.2527971029037021E-3</v>
      </c>
    </row>
    <row r="447" spans="1:9">
      <c r="A447">
        <v>446</v>
      </c>
      <c r="B447">
        <f>2*SIN(A447*PI()*Dashboard!$C$3)*(COS(A447*PI()*Dashboard!$C$9)-COS(A447*PI()*Dashboard!$C$10))/(A447*PI())</f>
        <v>4.1994959382152518E-4</v>
      </c>
      <c r="C447">
        <f>SUM($B$2:B447)</f>
        <v>5.3770017337028434E-3</v>
      </c>
      <c r="E447">
        <f>2*SIN(A447*PI()*Dashboard!$C$3)*(COS(A447*PI()*Dashboard!$C$11)-COS(A447*PI()*Dashboard!$C$12))/(A447*PI())</f>
        <v>5.1345952547838885E-4</v>
      </c>
      <c r="F447">
        <f>SUM($E$2:E447)</f>
        <v>0.99164814207199259</v>
      </c>
      <c r="H447">
        <f>2*SIN(A447*PI()*Dashboard!$C$3)*(COS(A447*PI()*Dashboard!$C$13)-COS(A447*PI()*Dashboard!$C$14))/(A447*PI())</f>
        <v>-9.3340911929991387E-4</v>
      </c>
      <c r="I447">
        <f>SUM($H$2:H447)</f>
        <v>4.3193879836037879E-3</v>
      </c>
    </row>
    <row r="448" spans="1:9">
      <c r="A448">
        <v>447</v>
      </c>
      <c r="B448">
        <f>2*SIN(A448*PI()*Dashboard!$C$3)*(COS(A448*PI()*Dashboard!$C$9)-COS(A448*PI()*Dashboard!$C$10))/(A448*PI())</f>
        <v>-1.9325948643867175E-3</v>
      </c>
      <c r="C448">
        <f>SUM($B$2:B448)</f>
        <v>3.4444068693161257E-3</v>
      </c>
      <c r="E448">
        <f>2*SIN(A448*PI()*Dashboard!$C$3)*(COS(A448*PI()*Dashboard!$C$11)-COS(A448*PI()*Dashboard!$C$12))/(A448*PI())</f>
        <v>1.5955926997116665E-3</v>
      </c>
      <c r="F448">
        <f>SUM($E$2:E448)</f>
        <v>0.99324373477170425</v>
      </c>
      <c r="H448">
        <f>2*SIN(A448*PI()*Dashboard!$C$3)*(COS(A448*PI()*Dashboard!$C$13)-COS(A448*PI()*Dashboard!$C$14))/(A448*PI())</f>
        <v>-1.799622168204169E-3</v>
      </c>
      <c r="I448">
        <f>SUM($H$2:H448)</f>
        <v>2.5197658153996187E-3</v>
      </c>
    </row>
    <row r="449" spans="1:9">
      <c r="A449">
        <v>448</v>
      </c>
      <c r="B449">
        <f>2*SIN(A449*PI()*Dashboard!$C$3)*(COS(A449*PI()*Dashboard!$C$9)-COS(A449*PI()*Dashboard!$C$10))/(A449*PI())</f>
        <v>-2.1704806038787008E-3</v>
      </c>
      <c r="C449">
        <f>SUM($B$2:B449)</f>
        <v>1.273926265437425E-3</v>
      </c>
      <c r="E449">
        <f>2*SIN(A449*PI()*Dashboard!$C$3)*(COS(A449*PI()*Dashboard!$C$11)-COS(A449*PI()*Dashboard!$C$12))/(A449*PI())</f>
        <v>2.0220718533645317E-3</v>
      </c>
      <c r="F449">
        <f>SUM($E$2:E449)</f>
        <v>0.99526580662506881</v>
      </c>
      <c r="H449">
        <f>2*SIN(A449*PI()*Dashboard!$C$3)*(COS(A449*PI()*Dashboard!$C$13)-COS(A449*PI()*Dashboard!$C$14))/(A449*PI())</f>
        <v>1.4840875051416865E-4</v>
      </c>
      <c r="I449">
        <f>SUM($H$2:H449)</f>
        <v>2.6681745659137873E-3</v>
      </c>
    </row>
    <row r="450" spans="1:9">
      <c r="A450">
        <v>449</v>
      </c>
      <c r="B450">
        <f>2*SIN(A450*PI()*Dashboard!$C$3)*(COS(A450*PI()*Dashboard!$C$9)-COS(A450*PI()*Dashboard!$C$10))/(A450*PI())</f>
        <v>2.7333264679617022E-4</v>
      </c>
      <c r="C450">
        <f>SUM($B$2:B450)</f>
        <v>1.5472589122335952E-3</v>
      </c>
      <c r="E450">
        <f>2*SIN(A450*PI()*Dashboard!$C$3)*(COS(A450*PI()*Dashboard!$C$11)-COS(A450*PI()*Dashboard!$C$12))/(A450*PI())</f>
        <v>2.2061251409472257E-4</v>
      </c>
      <c r="F450">
        <f>SUM($E$2:E450)</f>
        <v>0.99548641913916358</v>
      </c>
      <c r="H450">
        <f>2*SIN(A450*PI()*Dashboard!$C$3)*(COS(A450*PI()*Dashboard!$C$13)-COS(A450*PI()*Dashboard!$C$14))/(A450*PI())</f>
        <v>2.9719628418384015E-4</v>
      </c>
      <c r="I450">
        <f>SUM($H$2:H450)</f>
        <v>2.9653708500976274E-3</v>
      </c>
    </row>
    <row r="451" spans="1:9">
      <c r="A451">
        <v>450</v>
      </c>
      <c r="B451">
        <f>2*SIN(A451*PI()*Dashboard!$C$3)*(COS(A451*PI()*Dashboard!$C$9)-COS(A451*PI()*Dashboard!$C$10))/(A451*PI())</f>
        <v>0</v>
      </c>
      <c r="C451">
        <f>SUM($B$2:B451)</f>
        <v>1.5472589122335952E-3</v>
      </c>
      <c r="E451">
        <f>2*SIN(A451*PI()*Dashboard!$C$3)*(COS(A451*PI()*Dashboard!$C$11)-COS(A451*PI()*Dashboard!$C$12))/(A451*PI())</f>
        <v>2.8294212105225841E-3</v>
      </c>
      <c r="F451">
        <f>SUM($E$2:E451)</f>
        <v>0.99831584034968612</v>
      </c>
      <c r="H451">
        <f>2*SIN(A451*PI()*Dashboard!$C$3)*(COS(A451*PI()*Dashboard!$C$13)-COS(A451*PI()*Dashboard!$C$14))/(A451*PI())</f>
        <v>-2.8294212105225841E-3</v>
      </c>
      <c r="I451">
        <f>SUM($H$2:H451)</f>
        <v>1.3594963957504333E-4</v>
      </c>
    </row>
    <row r="452" spans="1:9">
      <c r="A452">
        <v>451</v>
      </c>
      <c r="B452">
        <f>2*SIN(A452*PI()*Dashboard!$C$3)*(COS(A452*PI()*Dashboard!$C$9)-COS(A452*PI()*Dashboard!$C$10))/(A452*PI())</f>
        <v>2.7212052862851031E-4</v>
      </c>
      <c r="C452">
        <f>SUM($B$2:B452)</f>
        <v>1.8193794408621056E-3</v>
      </c>
      <c r="E452">
        <f>2*SIN(A452*PI()*Dashboard!$C$3)*(COS(A452*PI()*Dashboard!$C$11)-COS(A452*PI()*Dashboard!$C$12))/(A452*PI())</f>
        <v>2.196341880899523E-4</v>
      </c>
      <c r="F452">
        <f>SUM($E$2:E452)</f>
        <v>0.99853547453777602</v>
      </c>
      <c r="H452">
        <f>2*SIN(A452*PI()*Dashboard!$C$3)*(COS(A452*PI()*Dashboard!$C$13)-COS(A452*PI()*Dashboard!$C$14))/(A452*PI())</f>
        <v>2.958783405732312E-4</v>
      </c>
      <c r="I452">
        <f>SUM($H$2:H452)</f>
        <v>4.3182798014827453E-4</v>
      </c>
    </row>
    <row r="453" spans="1:9">
      <c r="A453">
        <v>452</v>
      </c>
      <c r="B453">
        <f>2*SIN(A453*PI()*Dashboard!$C$3)*(COS(A453*PI()*Dashboard!$C$9)-COS(A453*PI()*Dashboard!$C$10))/(A453*PI())</f>
        <v>-2.1512728109236222E-3</v>
      </c>
      <c r="C453">
        <f>SUM($B$2:B453)</f>
        <v>-3.3189337006151657E-4</v>
      </c>
      <c r="E453">
        <f>2*SIN(A453*PI()*Dashboard!$C$3)*(COS(A453*PI()*Dashboard!$C$11)-COS(A453*PI()*Dashboard!$C$12))/(A453*PI())</f>
        <v>2.0041774121838814E-3</v>
      </c>
      <c r="F453">
        <f>SUM($E$2:E453)</f>
        <v>1.0005396519499599</v>
      </c>
      <c r="H453">
        <f>2*SIN(A453*PI()*Dashboard!$C$3)*(COS(A453*PI()*Dashboard!$C$13)-COS(A453*PI()*Dashboard!$C$14))/(A453*PI())</f>
        <v>1.4709539873974077E-4</v>
      </c>
      <c r="I453">
        <f>SUM($H$2:H453)</f>
        <v>5.7892337888801532E-4</v>
      </c>
    </row>
    <row r="454" spans="1:9">
      <c r="A454">
        <v>453</v>
      </c>
      <c r="B454">
        <f>2*SIN(A454*PI()*Dashboard!$C$3)*(COS(A454*PI()*Dashboard!$C$9)-COS(A454*PI()*Dashboard!$C$10))/(A454*PI())</f>
        <v>-1.9069975814149773E-3</v>
      </c>
      <c r="C454">
        <f>SUM($B$2:B454)</f>
        <v>-2.2388909514764938E-3</v>
      </c>
      <c r="E454">
        <f>2*SIN(A454*PI()*Dashboard!$C$3)*(COS(A454*PI()*Dashboard!$C$11)-COS(A454*PI()*Dashboard!$C$12))/(A454*PI())</f>
        <v>1.5744590215701004E-3</v>
      </c>
      <c r="F454">
        <f>SUM($E$2:E454)</f>
        <v>1.0021141109715299</v>
      </c>
      <c r="H454">
        <f>2*SIN(A454*PI()*Dashboard!$C$3)*(COS(A454*PI()*Dashboard!$C$13)-COS(A454*PI()*Dashboard!$C$14))/(A454*PI())</f>
        <v>-1.7757861129964164E-3</v>
      </c>
      <c r="I454">
        <f>SUM($H$2:H454)</f>
        <v>-1.1968627341084012E-3</v>
      </c>
    </row>
    <row r="455" spans="1:9">
      <c r="A455">
        <v>454</v>
      </c>
      <c r="B455">
        <f>2*SIN(A455*PI()*Dashboard!$C$3)*(COS(A455*PI()*Dashboard!$C$9)-COS(A455*PI()*Dashboard!$C$10))/(A455*PI())</f>
        <v>4.1254960097873006E-4</v>
      </c>
      <c r="C455">
        <f>SUM($B$2:B455)</f>
        <v>-1.8263413504977638E-3</v>
      </c>
      <c r="E455">
        <f>2*SIN(A455*PI()*Dashboard!$C$3)*(COS(A455*PI()*Dashboard!$C$11)-COS(A455*PI()*Dashboard!$C$12))/(A455*PI())</f>
        <v>5.0441178053567382E-4</v>
      </c>
      <c r="F455">
        <f>SUM($E$2:E455)</f>
        <v>1.0026185227520656</v>
      </c>
      <c r="H455">
        <f>2*SIN(A455*PI()*Dashboard!$C$3)*(COS(A455*PI()*Dashboard!$C$13)-COS(A455*PI()*Dashboard!$C$14))/(A455*PI())</f>
        <v>-9.1696138151440394E-4</v>
      </c>
      <c r="I455">
        <f>SUM($H$2:H455)</f>
        <v>-2.113824115622805E-3</v>
      </c>
    </row>
    <row r="456" spans="1:9">
      <c r="A456">
        <v>455</v>
      </c>
      <c r="B456">
        <f>2*SIN(A456*PI()*Dashboard!$C$3)*(COS(A456*PI()*Dashboard!$C$9)-COS(A456*PI()*Dashboard!$C$10))/(A456*PI())</f>
        <v>0</v>
      </c>
      <c r="C456">
        <f>SUM($B$2:B456)</f>
        <v>-1.8263413504977638E-3</v>
      </c>
      <c r="E456">
        <f>2*SIN(A456*PI()*Dashboard!$C$3)*(COS(A456*PI()*Dashboard!$C$11)-COS(A456*PI()*Dashboard!$C$12))/(A456*PI())</f>
        <v>2.6962397255892536E-3</v>
      </c>
      <c r="F456">
        <f>SUM($E$2:E456)</f>
        <v>1.0053147624776548</v>
      </c>
      <c r="H456">
        <f>2*SIN(A456*PI()*Dashboard!$C$3)*(COS(A456*PI()*Dashboard!$C$13)-COS(A456*PI()*Dashboard!$C$14))/(A456*PI())</f>
        <v>6.7636874673574361E-5</v>
      </c>
      <c r="I456">
        <f>SUM($H$2:H456)</f>
        <v>-2.0461872409492307E-3</v>
      </c>
    </row>
    <row r="457" spans="1:9">
      <c r="A457">
        <v>456</v>
      </c>
      <c r="B457">
        <f>2*SIN(A457*PI()*Dashboard!$C$3)*(COS(A457*PI()*Dashboard!$C$9)-COS(A457*PI()*Dashboard!$C$10))/(A457*PI())</f>
        <v>1.2090628887959245E-4</v>
      </c>
      <c r="C457">
        <f>SUM($B$2:B457)</f>
        <v>-1.7054350616181714E-3</v>
      </c>
      <c r="E457">
        <f>2*SIN(A457*PI()*Dashboard!$C$3)*(COS(A457*PI()*Dashboard!$C$11)-COS(A457*PI()*Dashboard!$C$12))/(A457*PI())</f>
        <v>4.3084025301873507E-5</v>
      </c>
      <c r="F457">
        <f>SUM($E$2:E457)</f>
        <v>1.0053578465029567</v>
      </c>
      <c r="H457">
        <f>2*SIN(A457*PI()*Dashboard!$C$3)*(COS(A457*PI()*Dashboard!$C$13)-COS(A457*PI()*Dashboard!$C$14))/(A457*PI())</f>
        <v>-1.6399031418146595E-4</v>
      </c>
      <c r="I457">
        <f>SUM($H$2:H457)</f>
        <v>-2.2101775551306969E-3</v>
      </c>
    </row>
    <row r="458" spans="1:9">
      <c r="A458">
        <v>457</v>
      </c>
      <c r="B458">
        <f>2*SIN(A458*PI()*Dashboard!$C$3)*(COS(A458*PI()*Dashboard!$C$9)-COS(A458*PI()*Dashboard!$C$10))/(A458*PI())</f>
        <v>-2.3127737624072664E-3</v>
      </c>
      <c r="C458">
        <f>SUM($B$2:B458)</f>
        <v>-4.0182088240254378E-3</v>
      </c>
      <c r="E458">
        <f>2*SIN(A458*PI()*Dashboard!$C$3)*(COS(A458*PI()*Dashboard!$C$11)-COS(A458*PI()*Dashboard!$C$12))/(A458*PI())</f>
        <v>2.2901285457497147E-3</v>
      </c>
      <c r="F458">
        <f>SUM($E$2:E458)</f>
        <v>1.0076479750487064</v>
      </c>
      <c r="H458">
        <f>2*SIN(A458*PI()*Dashboard!$C$3)*(COS(A458*PI()*Dashboard!$C$13)-COS(A458*PI()*Dashboard!$C$14))/(A458*PI())</f>
        <v>-2.5342945684287558E-3</v>
      </c>
      <c r="I458">
        <f>SUM($H$2:H458)</f>
        <v>-4.7444721235594522E-3</v>
      </c>
    </row>
    <row r="459" spans="1:9">
      <c r="A459">
        <v>458</v>
      </c>
      <c r="B459">
        <f>2*SIN(A459*PI()*Dashboard!$C$3)*(COS(A459*PI()*Dashboard!$C$9)-COS(A459*PI()*Dashboard!$C$10))/(A459*PI())</f>
        <v>-1.6028234806960467E-3</v>
      </c>
      <c r="C459">
        <f>SUM($B$2:B459)</f>
        <v>-5.6210323047214848E-3</v>
      </c>
      <c r="E459">
        <f>2*SIN(A459*PI()*Dashboard!$C$3)*(COS(A459*PI()*Dashboard!$C$11)-COS(A459*PI()*Dashboard!$C$12))/(A459*PI())</f>
        <v>1.0940530062101446E-3</v>
      </c>
      <c r="F459">
        <f>SUM($E$2:E459)</f>
        <v>1.0087420280549166</v>
      </c>
      <c r="H459">
        <f>2*SIN(A459*PI()*Dashboard!$C$3)*(COS(A459*PI()*Dashboard!$C$13)-COS(A459*PI()*Dashboard!$C$14))/(A459*PI())</f>
        <v>5.0877047448590225E-4</v>
      </c>
      <c r="I459">
        <f>SUM($H$2:H459)</f>
        <v>-4.2357016490735498E-3</v>
      </c>
    </row>
    <row r="460" spans="1:9">
      <c r="A460">
        <v>459</v>
      </c>
      <c r="B460">
        <f>2*SIN(A460*PI()*Dashboard!$C$3)*(COS(A460*PI()*Dashboard!$C$9)-COS(A460*PI()*Dashboard!$C$10))/(A460*PI())</f>
        <v>5.3868582300332566E-4</v>
      </c>
      <c r="C460">
        <f>SUM($B$2:B460)</f>
        <v>-5.082346481718159E-3</v>
      </c>
      <c r="E460">
        <f>2*SIN(A460*PI()*Dashboard!$C$3)*(COS(A460*PI()*Dashboard!$C$11)-COS(A460*PI()*Dashboard!$C$12))/(A460*PI())</f>
        <v>8.4159469845469586E-4</v>
      </c>
      <c r="F460">
        <f>SUM($E$2:E460)</f>
        <v>1.0095836227533714</v>
      </c>
      <c r="H460">
        <f>2*SIN(A460*PI()*Dashboard!$C$3)*(COS(A460*PI()*Dashboard!$C$13)-COS(A460*PI()*Dashboard!$C$14))/(A460*PI())</f>
        <v>1.7890637204872578E-4</v>
      </c>
      <c r="I460">
        <f>SUM($H$2:H460)</f>
        <v>-4.0567952770248243E-3</v>
      </c>
    </row>
    <row r="461" spans="1:9">
      <c r="A461">
        <v>460</v>
      </c>
      <c r="B461">
        <f>2*SIN(A461*PI()*Dashboard!$C$3)*(COS(A461*PI()*Dashboard!$C$9)-COS(A461*PI()*Dashboard!$C$10))/(A461*PI())</f>
        <v>0</v>
      </c>
      <c r="C461">
        <f>SUM($B$2:B461)</f>
        <v>-5.082346481718159E-3</v>
      </c>
      <c r="E461">
        <f>2*SIN(A461*PI()*Dashboard!$C$3)*(COS(A461*PI()*Dashboard!$C$11)-COS(A461*PI()*Dashboard!$C$12))/(A461*PI())</f>
        <v>2.3810650676664275E-3</v>
      </c>
      <c r="F461">
        <f>SUM($E$2:E461)</f>
        <v>1.0119646878210378</v>
      </c>
      <c r="H461">
        <f>2*SIN(A461*PI()*Dashboard!$C$3)*(COS(A461*PI()*Dashboard!$C$13)-COS(A461*PI()*Dashboard!$C$14))/(A461*PI())</f>
        <v>-2.3810650676664275E-3</v>
      </c>
      <c r="I461">
        <f>SUM($H$2:H461)</f>
        <v>-6.4378603446912513E-3</v>
      </c>
    </row>
    <row r="462" spans="1:9">
      <c r="A462">
        <v>461</v>
      </c>
      <c r="B462">
        <f>2*SIN(A462*PI()*Dashboard!$C$3)*(COS(A462*PI()*Dashboard!$C$9)-COS(A462*PI()*Dashboard!$C$10))/(A462*PI())</f>
        <v>-2.9972639873489701E-5</v>
      </c>
      <c r="C462">
        <f>SUM($B$2:B462)</f>
        <v>-5.1123191215916488E-3</v>
      </c>
      <c r="E462">
        <f>2*SIN(A462*PI()*Dashboard!$C$3)*(COS(A462*PI()*Dashboard!$C$11)-COS(A462*PI()*Dashboard!$C$12))/(A462*PI())</f>
        <v>2.5638974397251312E-6</v>
      </c>
      <c r="F462">
        <f>SUM($E$2:E462)</f>
        <v>1.0119672517184775</v>
      </c>
      <c r="H462">
        <f>2*SIN(A462*PI()*Dashboard!$C$3)*(COS(A462*PI()*Dashboard!$C$13)-COS(A462*PI()*Dashboard!$C$14))/(A462*PI())</f>
        <v>-5.9344881402124328E-5</v>
      </c>
      <c r="I462">
        <f>SUM($H$2:H462)</f>
        <v>-6.4972052260933756E-3</v>
      </c>
    </row>
    <row r="463" spans="1:9">
      <c r="A463">
        <v>462</v>
      </c>
      <c r="B463">
        <f>2*SIN(A463*PI()*Dashboard!$C$3)*(COS(A463*PI()*Dashboard!$C$9)-COS(A463*PI()*Dashboard!$C$10))/(A463*PI())</f>
        <v>-2.4144471787530875E-3</v>
      </c>
      <c r="C463">
        <f>SUM($B$2:B463)</f>
        <v>-7.5267663003447359E-3</v>
      </c>
      <c r="E463">
        <f>2*SIN(A463*PI()*Dashboard!$C$3)*(COS(A463*PI()*Dashboard!$C$11)-COS(A463*PI()*Dashboard!$C$12))/(A463*PI())</f>
        <v>2.4039228789681272E-3</v>
      </c>
      <c r="F463">
        <f>SUM($E$2:E463)</f>
        <v>1.0143711745974455</v>
      </c>
      <c r="H463">
        <f>2*SIN(A463*PI()*Dashboard!$C$3)*(COS(A463*PI()*Dashboard!$C$13)-COS(A463*PI()*Dashboard!$C$14))/(A463*PI())</f>
        <v>1.0524299784960517E-5</v>
      </c>
      <c r="I463">
        <f>SUM($H$2:H463)</f>
        <v>-6.4866809263084153E-3</v>
      </c>
    </row>
    <row r="464" spans="1:9">
      <c r="A464">
        <v>463</v>
      </c>
      <c r="B464">
        <f>2*SIN(A464*PI()*Dashboard!$C$3)*(COS(A464*PI()*Dashboard!$C$9)-COS(A464*PI()*Dashboard!$C$10))/(A464*PI())</f>
        <v>-1.2661783891263737E-3</v>
      </c>
      <c r="C464">
        <f>SUM($B$2:B464)</f>
        <v>-8.7929446894711091E-3</v>
      </c>
      <c r="E464">
        <f>2*SIN(A464*PI()*Dashboard!$C$3)*(COS(A464*PI()*Dashboard!$C$11)-COS(A464*PI()*Dashboard!$C$12))/(A464*PI())</f>
        <v>6.5397620374531295E-4</v>
      </c>
      <c r="F464">
        <f>SUM($E$2:E464)</f>
        <v>1.0150251508011909</v>
      </c>
      <c r="H464">
        <f>2*SIN(A464*PI()*Dashboard!$C$3)*(COS(A464*PI()*Dashboard!$C$13)-COS(A464*PI()*Dashboard!$C$14))/(A464*PI())</f>
        <v>-7.8765021298054638E-4</v>
      </c>
      <c r="I464">
        <f>SUM($H$2:H464)</f>
        <v>-7.2743311392889616E-3</v>
      </c>
    </row>
    <row r="465" spans="1:9">
      <c r="A465">
        <v>464</v>
      </c>
      <c r="B465">
        <f>2*SIN(A465*PI()*Dashboard!$C$3)*(COS(A465*PI()*Dashboard!$C$9)-COS(A465*PI()*Dashboard!$C$10))/(A465*PI())</f>
        <v>6.489822927514214E-4</v>
      </c>
      <c r="C465">
        <f>SUM($B$2:B465)</f>
        <v>-8.1439623967196877E-3</v>
      </c>
      <c r="E465">
        <f>2*SIN(A465*PI()*Dashboard!$C$3)*(COS(A465*PI()*Dashboard!$C$11)-COS(A465*PI()*Dashboard!$C$12))/(A465*PI())</f>
        <v>1.1634946540247171E-3</v>
      </c>
      <c r="F465">
        <f>SUM($E$2:E465)</f>
        <v>1.0161886454552156</v>
      </c>
      <c r="H465">
        <f>2*SIN(A465*PI()*Dashboard!$C$3)*(COS(A465*PI()*Dashboard!$C$13)-COS(A465*PI()*Dashboard!$C$14))/(A465*PI())</f>
        <v>-1.8124769467761388E-3</v>
      </c>
      <c r="I465">
        <f>SUM($H$2:H465)</f>
        <v>-9.0868080860651013E-3</v>
      </c>
    </row>
    <row r="466" spans="1:9">
      <c r="A466">
        <v>465</v>
      </c>
      <c r="B466">
        <f>2*SIN(A466*PI()*Dashboard!$C$3)*(COS(A466*PI()*Dashboard!$C$9)-COS(A466*PI()*Dashboard!$C$10))/(A466*PI())</f>
        <v>0</v>
      </c>
      <c r="C466">
        <f>SUM($B$2:B466)</f>
        <v>-8.1439623967196877E-3</v>
      </c>
      <c r="E466">
        <f>2*SIN(A466*PI()*Dashboard!$C$3)*(COS(A466*PI()*Dashboard!$C$11)-COS(A466*PI()*Dashboard!$C$12))/(A466*PI())</f>
        <v>1.9368670810161329E-3</v>
      </c>
      <c r="F466">
        <f>SUM($E$2:E466)</f>
        <v>1.0181255125362316</v>
      </c>
      <c r="H466">
        <f>2*SIN(A466*PI()*Dashboard!$C$3)*(COS(A466*PI()*Dashboard!$C$13)-COS(A466*PI()*Dashboard!$C$14))/(A466*PI())</f>
        <v>5.0284203987355561E-4</v>
      </c>
      <c r="I466">
        <f>SUM($H$2:H466)</f>
        <v>-8.5839660461915455E-3</v>
      </c>
    </row>
    <row r="467" spans="1:9">
      <c r="A467">
        <v>466</v>
      </c>
      <c r="B467">
        <f>2*SIN(A467*PI()*Dashboard!$C$3)*(COS(A467*PI()*Dashboard!$C$9)-COS(A467*PI()*Dashboard!$C$10))/(A467*PI())</f>
        <v>-1.7688371623957884E-4</v>
      </c>
      <c r="C467">
        <f>SUM($B$2:B467)</f>
        <v>-8.3208461129592667E-3</v>
      </c>
      <c r="E467">
        <f>2*SIN(A467*PI()*Dashboard!$C$3)*(COS(A467*PI()*Dashboard!$C$11)-COS(A467*PI()*Dashboard!$C$12))/(A467*PI())</f>
        <v>8.4068420363285693E-5</v>
      </c>
      <c r="F467">
        <f>SUM($E$2:E467)</f>
        <v>1.018209580956595</v>
      </c>
      <c r="H467">
        <f>2*SIN(A467*PI()*Dashboard!$C$3)*(COS(A467*PI()*Dashboard!$C$13)-COS(A467*PI()*Dashboard!$C$14))/(A467*PI())</f>
        <v>9.2815295876293164E-5</v>
      </c>
      <c r="I467">
        <f>SUM($H$2:H467)</f>
        <v>-8.491150750315252E-3</v>
      </c>
    </row>
    <row r="468" spans="1:9">
      <c r="A468">
        <v>467</v>
      </c>
      <c r="B468">
        <f>2*SIN(A468*PI()*Dashboard!$C$3)*(COS(A468*PI()*Dashboard!$C$9)-COS(A468*PI()*Dashboard!$C$10))/(A468*PI())</f>
        <v>-2.4551282593830975E-3</v>
      </c>
      <c r="C468">
        <f>SUM($B$2:B468)</f>
        <v>-1.0775974372342364E-2</v>
      </c>
      <c r="E468">
        <f>2*SIN(A468*PI()*Dashboard!$C$3)*(COS(A468*PI()*Dashboard!$C$11)-COS(A468*PI()*Dashboard!$C$12))/(A468*PI())</f>
        <v>2.3259631969509095E-3</v>
      </c>
      <c r="F468">
        <f>SUM($E$2:E468)</f>
        <v>1.020535544153546</v>
      </c>
      <c r="H468">
        <f>2*SIN(A468*PI()*Dashboard!$C$3)*(COS(A468*PI()*Dashboard!$C$13)-COS(A468*PI()*Dashboard!$C$14))/(A468*PI())</f>
        <v>-2.5851579837495218E-3</v>
      </c>
      <c r="I468">
        <f>SUM($H$2:H468)</f>
        <v>-1.1076308734064774E-2</v>
      </c>
    </row>
    <row r="469" spans="1:9">
      <c r="A469">
        <v>468</v>
      </c>
      <c r="B469">
        <f>2*SIN(A469*PI()*Dashboard!$C$3)*(COS(A469*PI()*Dashboard!$C$9)-COS(A469*PI()*Dashboard!$C$10))/(A469*PI())</f>
        <v>-9.058821476987109E-4</v>
      </c>
      <c r="C469">
        <f>SUM($B$2:B469)</f>
        <v>-1.1681856520041075E-2</v>
      </c>
      <c r="E469">
        <f>2*SIN(A469*PI()*Dashboard!$C$3)*(COS(A469*PI()*Dashboard!$C$11)-COS(A469*PI()*Dashboard!$C$12))/(A469*PI())</f>
        <v>3.1128986982695571E-4</v>
      </c>
      <c r="F469">
        <f>SUM($E$2:E469)</f>
        <v>1.020846834023373</v>
      </c>
      <c r="H469">
        <f>2*SIN(A469*PI()*Dashboard!$C$3)*(COS(A469*PI()*Dashboard!$C$13)-COS(A469*PI()*Dashboard!$C$14))/(A469*PI())</f>
        <v>5.9459227787175524E-4</v>
      </c>
      <c r="I469">
        <f>SUM($H$2:H469)</f>
        <v>-1.0481716456193019E-2</v>
      </c>
    </row>
    <row r="470" spans="1:9">
      <c r="A470">
        <v>469</v>
      </c>
      <c r="B470">
        <f>2*SIN(A470*PI()*Dashboard!$C$3)*(COS(A470*PI()*Dashboard!$C$9)-COS(A470*PI()*Dashboard!$C$10))/(A470*PI())</f>
        <v>7.411172910256192E-4</v>
      </c>
      <c r="C470">
        <f>SUM($B$2:B470)</f>
        <v>-1.0940739229015456E-2</v>
      </c>
      <c r="E470">
        <f>2*SIN(A470*PI()*Dashboard!$C$3)*(COS(A470*PI()*Dashboard!$C$11)-COS(A470*PI()*Dashboard!$C$12))/(A470*PI())</f>
        <v>1.4018763055097009E-3</v>
      </c>
      <c r="F470">
        <f>SUM($E$2:E470)</f>
        <v>1.0222487103288826</v>
      </c>
      <c r="H470">
        <f>2*SIN(A470*PI()*Dashboard!$C$3)*(COS(A470*PI()*Dashboard!$C$13)-COS(A470*PI()*Dashboard!$C$14))/(A470*PI())</f>
        <v>2.116442328963544E-6</v>
      </c>
      <c r="I470">
        <f>SUM($H$2:H470)</f>
        <v>-1.0479600013864056E-2</v>
      </c>
    </row>
    <row r="471" spans="1:9">
      <c r="A471">
        <v>470</v>
      </c>
      <c r="B471">
        <f>2*SIN(A471*PI()*Dashboard!$C$3)*(COS(A471*PI()*Dashboard!$C$9)-COS(A471*PI()*Dashboard!$C$10))/(A471*PI())</f>
        <v>0</v>
      </c>
      <c r="C471">
        <f>SUM($B$2:B471)</f>
        <v>-1.0940739229015456E-2</v>
      </c>
      <c r="E471">
        <f>2*SIN(A471*PI()*Dashboard!$C$3)*(COS(A471*PI()*Dashboard!$C$11)-COS(A471*PI()*Dashboard!$C$12))/(A471*PI())</f>
        <v>1.4344492721115748E-3</v>
      </c>
      <c r="F471">
        <f>SUM($E$2:E471)</f>
        <v>1.0236831596009943</v>
      </c>
      <c r="H471">
        <f>2*SIN(A471*PI()*Dashboard!$C$3)*(COS(A471*PI()*Dashboard!$C$13)-COS(A471*PI()*Dashboard!$C$14))/(A471*PI())</f>
        <v>-1.4344492721115748E-3</v>
      </c>
      <c r="I471">
        <f>SUM($H$2:H471)</f>
        <v>-1.1914049285975632E-2</v>
      </c>
    </row>
    <row r="472" spans="1:9">
      <c r="A472">
        <v>471</v>
      </c>
      <c r="B472">
        <f>2*SIN(A472*PI()*Dashboard!$C$3)*(COS(A472*PI()*Dashboard!$C$9)-COS(A472*PI()*Dashboard!$C$10))/(A472*PI())</f>
        <v>-3.1636643368515436E-4</v>
      </c>
      <c r="C472">
        <f>SUM($B$2:B472)</f>
        <v>-1.125710566270061E-2</v>
      </c>
      <c r="E472">
        <f>2*SIN(A472*PI()*Dashboard!$C$3)*(COS(A472*PI()*Dashboard!$C$11)-COS(A472*PI()*Dashboard!$C$12))/(A472*PI())</f>
        <v>2.4509200488969545E-4</v>
      </c>
      <c r="F472">
        <f>SUM($E$2:E472)</f>
        <v>1.0239282516058841</v>
      </c>
      <c r="H472">
        <f>2*SIN(A472*PI()*Dashboard!$C$3)*(COS(A472*PI()*Dashboard!$C$13)-COS(A472*PI()*Dashboard!$C$14))/(A472*PI())</f>
        <v>-8.4442517918256169E-4</v>
      </c>
      <c r="I472">
        <f>SUM($H$2:H472)</f>
        <v>-1.2758474465158194E-2</v>
      </c>
    </row>
    <row r="473" spans="1:9">
      <c r="A473">
        <v>472</v>
      </c>
      <c r="B473">
        <f>2*SIN(A473*PI()*Dashboard!$C$3)*(COS(A473*PI()*Dashboard!$C$9)-COS(A473*PI()*Dashboard!$C$10))/(A473*PI())</f>
        <v>-2.4351344431104969E-3</v>
      </c>
      <c r="C473">
        <f>SUM($B$2:B473)</f>
        <v>-1.3692240105811106E-2</v>
      </c>
      <c r="E473">
        <f>2*SIN(A473*PI()*Dashboard!$C$3)*(COS(A473*PI()*Dashboard!$C$11)-COS(A473*PI()*Dashboard!$C$12))/(A473*PI())</f>
        <v>2.0702966153942287E-3</v>
      </c>
      <c r="F473">
        <f>SUM($E$2:E473)</f>
        <v>1.0259985482212783</v>
      </c>
      <c r="H473">
        <f>2*SIN(A473*PI()*Dashboard!$C$3)*(COS(A473*PI()*Dashboard!$C$13)-COS(A473*PI()*Dashboard!$C$14))/(A473*PI())</f>
        <v>3.6483782771626843E-4</v>
      </c>
      <c r="I473">
        <f>SUM($H$2:H473)</f>
        <v>-1.2393636637441925E-2</v>
      </c>
    </row>
    <row r="474" spans="1:9">
      <c r="A474">
        <v>473</v>
      </c>
      <c r="B474">
        <f>2*SIN(A474*PI()*Dashboard!$C$3)*(COS(A474*PI()*Dashboard!$C$9)-COS(A474*PI()*Dashboard!$C$10))/(A474*PI())</f>
        <v>-5.3113312899491201E-4</v>
      </c>
      <c r="C474">
        <f>SUM($B$2:B474)</f>
        <v>-1.4223373234806018E-2</v>
      </c>
      <c r="E474">
        <f>2*SIN(A474*PI()*Dashboard!$C$3)*(COS(A474*PI()*Dashboard!$C$11)-COS(A474*PI()*Dashboard!$C$12))/(A474*PI())</f>
        <v>9.608554913662029E-5</v>
      </c>
      <c r="F474">
        <f>SUM($E$2:E474)</f>
        <v>1.0260946337704149</v>
      </c>
      <c r="H474">
        <f>2*SIN(A474*PI()*Dashboard!$C$3)*(COS(A474*PI()*Dashboard!$C$13)-COS(A474*PI()*Dashboard!$C$14))/(A474*PI())</f>
        <v>-1.5215876551761412E-4</v>
      </c>
      <c r="I474">
        <f>SUM($H$2:H474)</f>
        <v>-1.2545795402959539E-2</v>
      </c>
    </row>
    <row r="475" spans="1:9">
      <c r="A475">
        <v>474</v>
      </c>
      <c r="B475">
        <f>2*SIN(A475*PI()*Dashboard!$C$3)*(COS(A475*PI()*Dashboard!$C$9)-COS(A475*PI()*Dashboard!$C$10))/(A475*PI())</f>
        <v>8.1325224317807944E-4</v>
      </c>
      <c r="C475">
        <f>SUM($B$2:B475)</f>
        <v>-1.3410120991627939E-2</v>
      </c>
      <c r="E475">
        <f>2*SIN(A475*PI()*Dashboard!$C$3)*(COS(A475*PI()*Dashboard!$C$11)-COS(A475*PI()*Dashboard!$C$12))/(A475*PI())</f>
        <v>1.5036711234423879E-3</v>
      </c>
      <c r="F475">
        <f>SUM($E$2:E475)</f>
        <v>1.0275983048938573</v>
      </c>
      <c r="H475">
        <f>2*SIN(A475*PI()*Dashboard!$C$3)*(COS(A475*PI()*Dashboard!$C$13)-COS(A475*PI()*Dashboard!$C$14))/(A475*PI())</f>
        <v>-2.3169233666204669E-3</v>
      </c>
      <c r="I475">
        <f>SUM($H$2:H475)</f>
        <v>-1.4862718769580006E-2</v>
      </c>
    </row>
    <row r="476" spans="1:9">
      <c r="A476">
        <v>475</v>
      </c>
      <c r="B476">
        <f>2*SIN(A476*PI()*Dashboard!$C$3)*(COS(A476*PI()*Dashboard!$C$9)-COS(A476*PI()*Dashboard!$C$10))/(A476*PI())</f>
        <v>0</v>
      </c>
      <c r="C476">
        <f>SUM($B$2:B476)</f>
        <v>-1.3410120991627939E-2</v>
      </c>
      <c r="E476">
        <f>2*SIN(A476*PI()*Dashboard!$C$3)*(COS(A476*PI()*Dashboard!$C$11)-COS(A476*PI()*Dashboard!$C$12))/(A476*PI())</f>
        <v>9.4770138542860127E-4</v>
      </c>
      <c r="F476">
        <f>SUM($E$2:E476)</f>
        <v>1.0285460062792859</v>
      </c>
      <c r="H476">
        <f>2*SIN(A476*PI()*Dashboard!$C$3)*(COS(A476*PI()*Dashboard!$C$13)-COS(A476*PI()*Dashboard!$C$14))/(A476*PI())</f>
        <v>9.4770138542851106E-4</v>
      </c>
      <c r="I476">
        <f>SUM($H$2:H476)</f>
        <v>-1.3915017384151495E-2</v>
      </c>
    </row>
    <row r="477" spans="1:9">
      <c r="A477">
        <v>476</v>
      </c>
      <c r="B477">
        <f>2*SIN(A477*PI()*Dashboard!$C$3)*(COS(A477*PI()*Dashboard!$C$9)-COS(A477*PI()*Dashboard!$C$10))/(A477*PI())</f>
        <v>-4.4521067802557983E-4</v>
      </c>
      <c r="C477">
        <f>SUM($B$2:B477)</f>
        <v>-1.3855331669653519E-2</v>
      </c>
      <c r="E477">
        <f>2*SIN(A477*PI()*Dashboard!$C$3)*(COS(A477*PI()*Dashboard!$C$11)-COS(A477*PI()*Dashboard!$C$12))/(A477*PI())</f>
        <v>4.2496833918150863E-4</v>
      </c>
      <c r="F477">
        <f>SUM($E$2:E477)</f>
        <v>1.0289709746184674</v>
      </c>
      <c r="H477">
        <f>2*SIN(A477*PI()*Dashboard!$C$3)*(COS(A477*PI()*Dashboard!$C$13)-COS(A477*PI()*Dashboard!$C$14))/(A477*PI())</f>
        <v>2.024233884407123E-5</v>
      </c>
      <c r="I477">
        <f>SUM($H$2:H477)</f>
        <v>-1.3894775045307424E-2</v>
      </c>
    </row>
    <row r="478" spans="1:9">
      <c r="A478">
        <v>477</v>
      </c>
      <c r="B478">
        <f>2*SIN(A478*PI()*Dashboard!$C$3)*(COS(A478*PI()*Dashboard!$C$9)-COS(A478*PI()*Dashboard!$C$10))/(A478*PI())</f>
        <v>-2.3562272156486407E-3</v>
      </c>
      <c r="C478">
        <f>SUM($B$2:B478)</f>
        <v>-1.6211558885302159E-2</v>
      </c>
      <c r="E478">
        <f>2*SIN(A478*PI()*Dashboard!$C$3)*(COS(A478*PI()*Dashboard!$C$11)-COS(A478*PI()*Dashboard!$C$12))/(A478*PI())</f>
        <v>1.6812163665033358E-3</v>
      </c>
      <c r="F478">
        <f>SUM($E$2:E478)</f>
        <v>1.0306521909849709</v>
      </c>
      <c r="H478">
        <f>2*SIN(A478*PI()*Dashboard!$C$3)*(COS(A478*PI()*Dashboard!$C$13)-COS(A478*PI()*Dashboard!$C$14))/(A478*PI())</f>
        <v>-1.9299698923018959E-3</v>
      </c>
      <c r="I478">
        <f>SUM($H$2:H478)</f>
        <v>-1.5824744937609322E-2</v>
      </c>
    </row>
    <row r="479" spans="1:9">
      <c r="A479">
        <v>478</v>
      </c>
      <c r="B479">
        <f>2*SIN(A479*PI()*Dashboard!$C$3)*(COS(A479*PI()*Dashboard!$C$9)-COS(A479*PI()*Dashboard!$C$10))/(A479*PI())</f>
        <v>-1.5128258944248728E-4</v>
      </c>
      <c r="C479">
        <f>SUM($B$2:B479)</f>
        <v>-1.6362841474744646E-2</v>
      </c>
      <c r="E479">
        <f>2*SIN(A479*PI()*Dashboard!$C$3)*(COS(A479*PI()*Dashboard!$C$11)-COS(A479*PI()*Dashboard!$C$12))/(A479*PI())</f>
        <v>6.6942014757440733E-6</v>
      </c>
      <c r="F479">
        <f>SUM($E$2:E479)</f>
        <v>1.0306588851864467</v>
      </c>
      <c r="H479">
        <f>2*SIN(A479*PI()*Dashboard!$C$3)*(COS(A479*PI()*Dashboard!$C$13)-COS(A479*PI()*Dashboard!$C$14))/(A479*PI())</f>
        <v>1.445883879667432E-4</v>
      </c>
      <c r="I479">
        <f>SUM($H$2:H479)</f>
        <v>-1.5680156549642579E-2</v>
      </c>
    </row>
    <row r="480" spans="1:9">
      <c r="A480">
        <v>479</v>
      </c>
      <c r="B480">
        <f>2*SIN(A480*PI()*Dashboard!$C$3)*(COS(A480*PI()*Dashboard!$C$9)-COS(A480*PI()*Dashboard!$C$10))/(A480*PI())</f>
        <v>8.6406530608413527E-4</v>
      </c>
      <c r="C480">
        <f>SUM($B$2:B480)</f>
        <v>-1.5498776168660511E-2</v>
      </c>
      <c r="E480">
        <f>2*SIN(A480*PI()*Dashboard!$C$3)*(COS(A480*PI()*Dashboard!$C$11)-COS(A480*PI()*Dashboard!$C$12))/(A480*PI())</f>
        <v>1.4422428961366478E-3</v>
      </c>
      <c r="F480">
        <f>SUM($E$2:E480)</f>
        <v>1.0321011280825834</v>
      </c>
      <c r="H480">
        <f>2*SIN(A480*PI()*Dashboard!$C$3)*(COS(A480*PI()*Dashboard!$C$13)-COS(A480*PI()*Dashboard!$C$14))/(A480*PI())</f>
        <v>1.9466591450850224E-4</v>
      </c>
      <c r="I480">
        <f>SUM($H$2:H480)</f>
        <v>-1.5485490635134077E-2</v>
      </c>
    </row>
    <row r="481" spans="1:9">
      <c r="A481">
        <v>480</v>
      </c>
      <c r="B481">
        <f>2*SIN(A481*PI()*Dashboard!$C$3)*(COS(A481*PI()*Dashboard!$C$9)-COS(A481*PI()*Dashboard!$C$10))/(A481*PI())</f>
        <v>0</v>
      </c>
      <c r="C481">
        <f>SUM($B$2:B481)</f>
        <v>-1.5498776168660511E-2</v>
      </c>
      <c r="E481">
        <f>2*SIN(A481*PI()*Dashboard!$C$3)*(COS(A481*PI()*Dashboard!$C$11)-COS(A481*PI()*Dashboard!$C$12))/(A481*PI())</f>
        <v>5.3867266420201752E-4</v>
      </c>
      <c r="F481">
        <f>SUM($E$2:E481)</f>
        <v>1.0326398007467854</v>
      </c>
      <c r="H481">
        <f>2*SIN(A481*PI()*Dashboard!$C$3)*(COS(A481*PI()*Dashboard!$C$13)-COS(A481*PI()*Dashboard!$C$14))/(A481*PI())</f>
        <v>-5.3867266420201752E-4</v>
      </c>
      <c r="I481">
        <f>SUM($H$2:H481)</f>
        <v>-1.6024163299336095E-2</v>
      </c>
    </row>
    <row r="482" spans="1:9">
      <c r="A482">
        <v>481</v>
      </c>
      <c r="B482">
        <f>2*SIN(A482*PI()*Dashboard!$C$3)*(COS(A482*PI()*Dashboard!$C$9)-COS(A482*PI()*Dashboard!$C$10))/(A482*PI())</f>
        <v>-5.6052763935669607E-4</v>
      </c>
      <c r="C482">
        <f>SUM($B$2:B482)</f>
        <v>-1.6059303808017209E-2</v>
      </c>
      <c r="E482">
        <f>2*SIN(A482*PI()*Dashboard!$C$3)*(COS(A482*PI()*Dashboard!$C$11)-COS(A482*PI()*Dashboard!$C$12))/(A482*PI())</f>
        <v>5.5892691510312539E-4</v>
      </c>
      <c r="F482">
        <f>SUM($E$2:E482)</f>
        <v>1.0331987276618886</v>
      </c>
      <c r="H482">
        <f>2*SIN(A482*PI()*Dashboard!$C$3)*(COS(A482*PI()*Dashboard!$C$13)-COS(A482*PI()*Dashboard!$C$14))/(A482*PI())</f>
        <v>-1.6208057164076089E-3</v>
      </c>
      <c r="I482">
        <f>SUM($H$2:H482)</f>
        <v>-1.7644969015743705E-2</v>
      </c>
    </row>
    <row r="483" spans="1:9">
      <c r="A483">
        <v>482</v>
      </c>
      <c r="B483">
        <f>2*SIN(A483*PI()*Dashboard!$C$3)*(COS(A483*PI()*Dashboard!$C$9)-COS(A483*PI()*Dashboard!$C$10))/(A483*PI())</f>
        <v>-2.2215407815379929E-3</v>
      </c>
      <c r="C483">
        <f>SUM($B$2:B483)</f>
        <v>-1.8280844589555201E-2</v>
      </c>
      <c r="E483">
        <f>2*SIN(A483*PI()*Dashboard!$C$3)*(COS(A483*PI()*Dashboard!$C$11)-COS(A483*PI()*Dashboard!$C$12))/(A483*PI())</f>
        <v>1.2236145292689486E-3</v>
      </c>
      <c r="F483">
        <f>SUM($E$2:E483)</f>
        <v>1.0344223421911576</v>
      </c>
      <c r="H483">
        <f>2*SIN(A483*PI()*Dashboard!$C$3)*(COS(A483*PI()*Dashboard!$C$13)-COS(A483*PI()*Dashboard!$C$14))/(A483*PI())</f>
        <v>9.9792625226904409E-4</v>
      </c>
      <c r="I483">
        <f>SUM($H$2:H483)</f>
        <v>-1.6647042763474659E-2</v>
      </c>
    </row>
    <row r="484" spans="1:9">
      <c r="A484">
        <v>483</v>
      </c>
      <c r="B484">
        <f>2*SIN(A484*PI()*Dashboard!$C$3)*(COS(A484*PI()*Dashboard!$C$9)-COS(A484*PI()*Dashboard!$C$10))/(A484*PI())</f>
        <v>2.2439006723701433E-4</v>
      </c>
      <c r="C484">
        <f>SUM($B$2:B484)</f>
        <v>-1.8056454522318185E-2</v>
      </c>
      <c r="E484">
        <f>2*SIN(A484*PI()*Dashboard!$C$3)*(COS(A484*PI()*Dashboard!$C$11)-COS(A484*PI()*Dashboard!$C$12))/(A484*PI())</f>
        <v>1.1884258381138332E-5</v>
      </c>
      <c r="F484">
        <f>SUM($E$2:E484)</f>
        <v>1.0344342264495388</v>
      </c>
      <c r="H484">
        <f>2*SIN(A484*PI()*Dashboard!$C$3)*(COS(A484*PI()*Dashboard!$C$13)-COS(A484*PI()*Dashboard!$C$14))/(A484*PI())</f>
        <v>1.180523132878625E-5</v>
      </c>
      <c r="I484">
        <f>SUM($H$2:H484)</f>
        <v>-1.6635237532145873E-2</v>
      </c>
    </row>
    <row r="485" spans="1:9">
      <c r="A485">
        <v>484</v>
      </c>
      <c r="B485">
        <f>2*SIN(A485*PI()*Dashboard!$C$3)*(COS(A485*PI()*Dashboard!$C$9)-COS(A485*PI()*Dashboard!$C$10))/(A485*PI())</f>
        <v>8.9277215180914458E-4</v>
      </c>
      <c r="C485">
        <f>SUM($B$2:B485)</f>
        <v>-1.716368237050904E-2</v>
      </c>
      <c r="E485">
        <f>2*SIN(A485*PI()*Dashboard!$C$3)*(COS(A485*PI()*Dashboard!$C$11)-COS(A485*PI()*Dashboard!$C$12))/(A485*PI())</f>
        <v>1.2228320336071464E-3</v>
      </c>
      <c r="F485">
        <f>SUM($E$2:E485)</f>
        <v>1.0356570584831459</v>
      </c>
      <c r="H485">
        <f>2*SIN(A485*PI()*Dashboard!$C$3)*(COS(A485*PI()*Dashboard!$C$13)-COS(A485*PI()*Dashboard!$C$14))/(A485*PI())</f>
        <v>-2.1156041854162909E-3</v>
      </c>
      <c r="I485">
        <f>SUM($H$2:H485)</f>
        <v>-1.8750841717562163E-2</v>
      </c>
    </row>
    <row r="486" spans="1:9">
      <c r="A486">
        <v>485</v>
      </c>
      <c r="B486">
        <f>2*SIN(A486*PI()*Dashboard!$C$3)*(COS(A486*PI()*Dashboard!$C$9)-COS(A486*PI()*Dashboard!$C$10))/(A486*PI())</f>
        <v>0</v>
      </c>
      <c r="C486">
        <f>SUM($B$2:B486)</f>
        <v>-1.716368237050904E-2</v>
      </c>
      <c r="E486">
        <f>2*SIN(A486*PI()*Dashboard!$C$3)*(COS(A486*PI()*Dashboard!$C$11)-COS(A486*PI()*Dashboard!$C$12))/(A486*PI())</f>
        <v>2.4564542190103631E-4</v>
      </c>
      <c r="F486">
        <f>SUM($E$2:E486)</f>
        <v>1.035902703905047</v>
      </c>
      <c r="H486">
        <f>2*SIN(A486*PI()*Dashboard!$C$3)*(COS(A486*PI()*Dashboard!$C$13)-COS(A486*PI()*Dashboard!$C$14))/(A486*PI())</f>
        <v>9.4618686099084146E-4</v>
      </c>
      <c r="I486">
        <f>SUM($H$2:H486)</f>
        <v>-1.780465485657132E-2</v>
      </c>
    </row>
    <row r="487" spans="1:9">
      <c r="A487">
        <v>486</v>
      </c>
      <c r="B487">
        <f>2*SIN(A487*PI()*Dashboard!$C$3)*(COS(A487*PI()*Dashboard!$C$9)-COS(A487*PI()*Dashboard!$C$10))/(A487*PI())</f>
        <v>-6.598117693471093E-4</v>
      </c>
      <c r="C487">
        <f>SUM($B$2:B487)</f>
        <v>-1.782349413985615E-2</v>
      </c>
      <c r="E487">
        <f>2*SIN(A487*PI()*Dashboard!$C$3)*(COS(A487*PI()*Dashboard!$C$11)-COS(A487*PI()*Dashboard!$C$12))/(A487*PI())</f>
        <v>5.927561388632326E-4</v>
      </c>
      <c r="F487">
        <f>SUM($E$2:E487)</f>
        <v>1.0364954600439102</v>
      </c>
      <c r="H487">
        <f>2*SIN(A487*PI()*Dashboard!$C$3)*(COS(A487*PI()*Dashboard!$C$13)-COS(A487*PI()*Dashboard!$C$14))/(A487*PI())</f>
        <v>6.7055630483876588E-5</v>
      </c>
      <c r="I487">
        <f>SUM($H$2:H487)</f>
        <v>-1.7737599226087444E-2</v>
      </c>
    </row>
    <row r="488" spans="1:9">
      <c r="A488">
        <v>487</v>
      </c>
      <c r="B488">
        <f>2*SIN(A488*PI()*Dashboard!$C$3)*(COS(A488*PI()*Dashboard!$C$9)-COS(A488*PI()*Dashboard!$C$10))/(A488*PI())</f>
        <v>-2.0354798948794156E-3</v>
      </c>
      <c r="C488">
        <f>SUM($B$2:B488)</f>
        <v>-1.9858974034735567E-2</v>
      </c>
      <c r="E488">
        <f>2*SIN(A488*PI()*Dashboard!$C$3)*(COS(A488*PI()*Dashboard!$C$11)-COS(A488*PI()*Dashboard!$C$12))/(A488*PI())</f>
        <v>7.6927113117940368E-4</v>
      </c>
      <c r="F488">
        <f>SUM($E$2:E488)</f>
        <v>1.0372647311750895</v>
      </c>
      <c r="H488">
        <f>2*SIN(A488*PI()*Dashboard!$C$3)*(COS(A488*PI()*Dashboard!$C$13)-COS(A488*PI()*Dashboard!$C$14))/(A488*PI())</f>
        <v>-9.8416246134512531E-4</v>
      </c>
      <c r="I488">
        <f>SUM($H$2:H488)</f>
        <v>-1.8721761687432569E-2</v>
      </c>
    </row>
    <row r="489" spans="1:9">
      <c r="A489">
        <v>488</v>
      </c>
      <c r="B489">
        <f>2*SIN(A489*PI()*Dashboard!$C$3)*(COS(A489*PI()*Dashboard!$C$9)-COS(A489*PI()*Dashboard!$C$10))/(A489*PI())</f>
        <v>5.8689589651937484E-4</v>
      </c>
      <c r="C489">
        <f>SUM($B$2:B489)</f>
        <v>-1.9272078138216193E-2</v>
      </c>
      <c r="E489">
        <f>2*SIN(A489*PI()*Dashboard!$C$3)*(COS(A489*PI()*Dashboard!$C$11)-COS(A489*PI()*Dashboard!$C$12))/(A489*PI())</f>
        <v>5.9402036132897813E-5</v>
      </c>
      <c r="F489">
        <f>SUM($E$2:E489)</f>
        <v>1.0373241332112224</v>
      </c>
      <c r="H489">
        <f>2*SIN(A489*PI()*Dashboard!$C$3)*(COS(A489*PI()*Dashboard!$C$13)-COS(A489*PI()*Dashboard!$C$14))/(A489*PI())</f>
        <v>-6.4629793265227268E-4</v>
      </c>
      <c r="I489">
        <f>SUM($H$2:H489)</f>
        <v>-1.9368059620084841E-2</v>
      </c>
    </row>
    <row r="490" spans="1:9">
      <c r="A490">
        <v>489</v>
      </c>
      <c r="B490">
        <f>2*SIN(A490*PI()*Dashboard!$C$3)*(COS(A490*PI()*Dashboard!$C$9)-COS(A490*PI()*Dashboard!$C$10))/(A490*PI())</f>
        <v>8.991337073434852E-4</v>
      </c>
      <c r="C490">
        <f>SUM($B$2:B490)</f>
        <v>-1.8372944430872708E-2</v>
      </c>
      <c r="E490">
        <f>2*SIN(A490*PI()*Dashboard!$C$3)*(COS(A490*PI()*Dashboard!$C$11)-COS(A490*PI()*Dashboard!$C$12))/(A490*PI())</f>
        <v>8.8112266820964335E-4</v>
      </c>
      <c r="F490">
        <f>SUM($E$2:E490)</f>
        <v>1.0382052558794321</v>
      </c>
      <c r="H490">
        <f>2*SIN(A490*PI()*Dashboard!$C$3)*(COS(A490*PI()*Dashboard!$C$13)-COS(A490*PI()*Dashboard!$C$14))/(A490*PI())</f>
        <v>8.2222067532594829E-4</v>
      </c>
      <c r="I490">
        <f>SUM($H$2:H490)</f>
        <v>-1.8545838944758891E-2</v>
      </c>
    </row>
    <row r="491" spans="1:9">
      <c r="A491">
        <v>490</v>
      </c>
      <c r="B491">
        <f>2*SIN(A491*PI()*Dashboard!$C$3)*(COS(A491*PI()*Dashboard!$C$9)-COS(A491*PI()*Dashboard!$C$10))/(A491*PI())</f>
        <v>0</v>
      </c>
      <c r="C491">
        <f>SUM($B$2:B491)</f>
        <v>-1.8372944430872708E-2</v>
      </c>
      <c r="E491">
        <f>2*SIN(A491*PI()*Dashboard!$C$3)*(COS(A491*PI()*Dashboard!$C$11)-COS(A491*PI()*Dashboard!$C$12))/(A491*PI())</f>
        <v>7.6676296989417362E-5</v>
      </c>
      <c r="F491">
        <f>SUM($E$2:E491)</f>
        <v>1.0382819321764216</v>
      </c>
      <c r="H491">
        <f>2*SIN(A491*PI()*Dashboard!$C$3)*(COS(A491*PI()*Dashboard!$C$13)-COS(A491*PI()*Dashboard!$C$14))/(A491*PI())</f>
        <v>-7.6676296989417362E-5</v>
      </c>
      <c r="I491">
        <f>SUM($H$2:H491)</f>
        <v>-1.8622515241748308E-2</v>
      </c>
    </row>
    <row r="492" spans="1:9">
      <c r="A492">
        <v>491</v>
      </c>
      <c r="B492">
        <f>2*SIN(A492*PI()*Dashboard!$C$3)*(COS(A492*PI()*Dashboard!$C$9)-COS(A492*PI()*Dashboard!$C$10))/(A492*PI())</f>
        <v>-7.4099250932199148E-4</v>
      </c>
      <c r="C492">
        <f>SUM($B$2:B492)</f>
        <v>-1.9113936940194698E-2</v>
      </c>
      <c r="E492">
        <f>2*SIN(A492*PI()*Dashboard!$C$3)*(COS(A492*PI()*Dashboard!$C$11)-COS(A492*PI()*Dashboard!$C$12))/(A492*PI())</f>
        <v>4.9489677801248732E-4</v>
      </c>
      <c r="F492">
        <f>SUM($E$2:E492)</f>
        <v>1.0387768289544341</v>
      </c>
      <c r="H492">
        <f>2*SIN(A492*PI()*Dashboard!$C$3)*(COS(A492*PI()*Dashboard!$C$13)-COS(A492*PI()*Dashboard!$C$14))/(A492*PI())</f>
        <v>-1.898653135999335E-3</v>
      </c>
      <c r="I492">
        <f>SUM($H$2:H492)</f>
        <v>-2.0521168377747642E-2</v>
      </c>
    </row>
    <row r="493" spans="1:9">
      <c r="A493">
        <v>492</v>
      </c>
      <c r="B493">
        <f>2*SIN(A493*PI()*Dashboard!$C$3)*(COS(A493*PI()*Dashboard!$C$9)-COS(A493*PI()*Dashboard!$C$10))/(A493*PI())</f>
        <v>-1.8035898155184778E-3</v>
      </c>
      <c r="C493">
        <f>SUM($B$2:B493)</f>
        <v>-2.0917526755713175E-2</v>
      </c>
      <c r="E493">
        <f>2*SIN(A493*PI()*Dashboard!$C$3)*(COS(A493*PI()*Dashboard!$C$11)-COS(A493*PI()*Dashboard!$C$12))/(A493*PI())</f>
        <v>3.8208796261169796E-4</v>
      </c>
      <c r="F493">
        <f>SUM($E$2:E493)</f>
        <v>1.0391589169170459</v>
      </c>
      <c r="H493">
        <f>2*SIN(A493*PI()*Dashboard!$C$3)*(COS(A493*PI()*Dashboard!$C$13)-COS(A493*PI()*Dashboard!$C$14))/(A493*PI())</f>
        <v>1.4215018529067799E-3</v>
      </c>
      <c r="I493">
        <f>SUM($H$2:H493)</f>
        <v>-1.9099666524840863E-2</v>
      </c>
    </row>
    <row r="494" spans="1:9">
      <c r="A494">
        <v>493</v>
      </c>
      <c r="B494">
        <f>2*SIN(A494*PI()*Dashboard!$C$3)*(COS(A494*PI()*Dashboard!$C$9)-COS(A494*PI()*Dashboard!$C$10))/(A494*PI())</f>
        <v>9.2774390677626722E-4</v>
      </c>
      <c r="C494">
        <f>SUM($B$2:B494)</f>
        <v>-1.9989782848936908E-2</v>
      </c>
      <c r="E494">
        <f>2*SIN(A494*PI()*Dashboard!$C$3)*(COS(A494*PI()*Dashboard!$C$11)-COS(A494*PI()*Dashboard!$C$12))/(A494*PI())</f>
        <v>8.8860649213138191E-5</v>
      </c>
      <c r="F494">
        <f>SUM($E$2:E494)</f>
        <v>1.039247777566259</v>
      </c>
      <c r="H494">
        <f>2*SIN(A494*PI()*Dashboard!$C$3)*(COS(A494*PI()*Dashboard!$C$13)-COS(A494*PI()*Dashboard!$C$14))/(A494*PI())</f>
        <v>9.0838810579482692E-6</v>
      </c>
      <c r="I494">
        <f>SUM($H$2:H494)</f>
        <v>-1.9090582643782914E-2</v>
      </c>
    </row>
    <row r="495" spans="1:9">
      <c r="A495">
        <v>494</v>
      </c>
      <c r="B495">
        <f>2*SIN(A495*PI()*Dashboard!$C$3)*(COS(A495*PI()*Dashboard!$C$9)-COS(A495*PI()*Dashboard!$C$10))/(A495*PI())</f>
        <v>8.8345091610757048E-4</v>
      </c>
      <c r="C495">
        <f>SUM($B$2:B495)</f>
        <v>-1.9106331932829339E-2</v>
      </c>
      <c r="E495">
        <f>2*SIN(A495*PI()*Dashboard!$C$3)*(COS(A495*PI()*Dashboard!$C$11)-COS(A495*PI()*Dashboard!$C$12))/(A495*PI())</f>
        <v>4.7537158815839648E-4</v>
      </c>
      <c r="F495">
        <f>SUM($E$2:E495)</f>
        <v>1.0397231491544174</v>
      </c>
      <c r="H495">
        <f>2*SIN(A495*PI()*Dashboard!$C$3)*(COS(A495*PI()*Dashboard!$C$13)-COS(A495*PI()*Dashboard!$C$14))/(A495*PI())</f>
        <v>-1.3588225042659671E-3</v>
      </c>
      <c r="I495">
        <f>SUM($H$2:H495)</f>
        <v>-2.0449405148048883E-2</v>
      </c>
    </row>
    <row r="496" spans="1:9">
      <c r="A496">
        <v>495</v>
      </c>
      <c r="B496">
        <f>2*SIN(A496*PI()*Dashboard!$C$3)*(COS(A496*PI()*Dashboard!$C$9)-COS(A496*PI()*Dashboard!$C$10))/(A496*PI())</f>
        <v>0</v>
      </c>
      <c r="C496">
        <f>SUM($B$2:B496)</f>
        <v>-1.9106331932829339E-2</v>
      </c>
      <c r="E496">
        <f>2*SIN(A496*PI()*Dashboard!$C$3)*(COS(A496*PI()*Dashboard!$C$11)-COS(A496*PI()*Dashboard!$C$12))/(A496*PI())</f>
        <v>9.8469615877164658E-6</v>
      </c>
      <c r="F496">
        <f>SUM($E$2:E496)</f>
        <v>1.0397329961160051</v>
      </c>
      <c r="H496">
        <f>2*SIN(A496*PI()*Dashboard!$C$3)*(COS(A496*PI()*Dashboard!$C$13)-COS(A496*PI()*Dashboard!$C$14))/(A496*PI())</f>
        <v>3.9253394154105159E-4</v>
      </c>
      <c r="I496">
        <f>SUM($H$2:H496)</f>
        <v>-2.0056871206507832E-2</v>
      </c>
    </row>
    <row r="497" spans="1:9">
      <c r="A497">
        <v>496</v>
      </c>
      <c r="B497">
        <f>2*SIN(A497*PI()*Dashboard!$C$3)*(COS(A497*PI()*Dashboard!$C$9)-COS(A497*PI()*Dashboard!$C$10))/(A497*PI())</f>
        <v>-8.0247477441157422E-4</v>
      </c>
      <c r="C497">
        <f>SUM($B$2:B497)</f>
        <v>-1.9908806707240913E-2</v>
      </c>
      <c r="E497">
        <f>2*SIN(A497*PI()*Dashboard!$C$3)*(COS(A497*PI()*Dashboard!$C$11)-COS(A497*PI()*Dashboard!$C$12))/(A497*PI())</f>
        <v>2.6340610708562394E-4</v>
      </c>
      <c r="F497">
        <f>SUM($E$2:E497)</f>
        <v>1.0399964022230908</v>
      </c>
      <c r="H497">
        <f>2*SIN(A497*PI()*Dashboard!$C$3)*(COS(A497*PI()*Dashboard!$C$13)-COS(A497*PI()*Dashboard!$C$14))/(A497*PI())</f>
        <v>5.3906866732595022E-4</v>
      </c>
      <c r="I497">
        <f>SUM($H$2:H497)</f>
        <v>-1.951780253918188E-2</v>
      </c>
    </row>
    <row r="498" spans="1:9">
      <c r="A498">
        <v>497</v>
      </c>
      <c r="B498">
        <f>2*SIN(A498*PI()*Dashboard!$C$3)*(COS(A498*PI()*Dashboard!$C$9)-COS(A498*PI()*Dashboard!$C$10))/(A498*PI())</f>
        <v>-1.5324019498697695E-3</v>
      </c>
      <c r="C498">
        <f>SUM($B$2:B498)</f>
        <v>-2.1441208657110682E-2</v>
      </c>
      <c r="E498">
        <f>2*SIN(A498*PI()*Dashboard!$C$3)*(COS(A498*PI()*Dashboard!$C$11)-COS(A498*PI()*Dashboard!$C$12))/(A498*PI())</f>
        <v>1.0543731780748297E-4</v>
      </c>
      <c r="F498">
        <f>SUM($E$2:E498)</f>
        <v>1.0401018395408983</v>
      </c>
      <c r="H498">
        <f>2*SIN(A498*PI()*Dashboard!$C$3)*(COS(A498*PI()*Dashboard!$C$13)-COS(A498*PI()*Dashboard!$C$14))/(A498*PI())</f>
        <v>-2.6721729617248144E-4</v>
      </c>
      <c r="I498">
        <f>SUM($H$2:H498)</f>
        <v>-1.9785019835354363E-2</v>
      </c>
    </row>
    <row r="499" spans="1:9">
      <c r="A499">
        <v>498</v>
      </c>
      <c r="B499">
        <f>2*SIN(A499*PI()*Dashboard!$C$3)*(COS(A499*PI()*Dashboard!$C$9)-COS(A499*PI()*Dashboard!$C$10))/(A499*PI())</f>
        <v>1.2391328042622972E-3</v>
      </c>
      <c r="C499">
        <f>SUM($B$2:B499)</f>
        <v>-2.0202075852848386E-2</v>
      </c>
      <c r="E499">
        <f>2*SIN(A499*PI()*Dashboard!$C$3)*(COS(A499*PI()*Dashboard!$C$11)-COS(A499*PI()*Dashboard!$C$12))/(A499*PI())</f>
        <v>4.6091804090325339E-5</v>
      </c>
      <c r="F499">
        <f>SUM($E$2:E499)</f>
        <v>1.0401479313449886</v>
      </c>
      <c r="H499">
        <f>2*SIN(A499*PI()*Dashboard!$C$3)*(COS(A499*PI()*Dashboard!$C$13)-COS(A499*PI()*Dashboard!$C$14))/(A499*PI())</f>
        <v>-1.2852246083526224E-3</v>
      </c>
      <c r="I499">
        <f>SUM($H$2:H499)</f>
        <v>-2.1070244443706986E-2</v>
      </c>
    </row>
    <row r="500" spans="1:9">
      <c r="A500">
        <v>499</v>
      </c>
      <c r="B500">
        <f>2*SIN(A500*PI()*Dashboard!$C$3)*(COS(A500*PI()*Dashboard!$C$9)-COS(A500*PI()*Dashboard!$C$10))/(A500*PI())</f>
        <v>8.4654688658257276E-4</v>
      </c>
      <c r="C500">
        <f>SUM($B$2:B500)</f>
        <v>-1.9355528966265814E-2</v>
      </c>
      <c r="E500">
        <f>2*SIN(A500*PI()*Dashboard!$C$3)*(COS(A500*PI()*Dashboard!$C$11)-COS(A500*PI()*Dashboard!$C$12))/(A500*PI())</f>
        <v>7.3908800027594436E-5</v>
      </c>
      <c r="F500">
        <f>SUM($E$2:E500)</f>
        <v>1.0402218401450163</v>
      </c>
      <c r="H500">
        <f>2*SIN(A500*PI()*Dashboard!$C$3)*(COS(A500*PI()*Dashboard!$C$13)-COS(A500*PI()*Dashboard!$C$14))/(A500*PI())</f>
        <v>1.529812640370551E-3</v>
      </c>
      <c r="I500">
        <f>SUM($H$2:H500)</f>
        <v>-1.9540431803336436E-2</v>
      </c>
    </row>
    <row r="501" spans="1:9">
      <c r="A501">
        <v>500</v>
      </c>
      <c r="B501">
        <f>2*SIN(A501*PI()*Dashboard!$C$3)*(COS(A501*PI()*Dashboard!$C$9)-COS(A501*PI()*Dashboard!$C$10))/(A501*PI())</f>
        <v>0</v>
      </c>
      <c r="C501">
        <f>SUM($B$2:B501)</f>
        <v>-1.9355528966265814E-2</v>
      </c>
      <c r="E501">
        <f>2*SIN(A501*PI()*Dashboard!$C$3)*(COS(A501*PI()*Dashboard!$C$11)-COS(A501*PI()*Dashboard!$C$12))/(A501*PI())</f>
        <v>0</v>
      </c>
      <c r="F501">
        <f>SUM($E$2:E501)</f>
        <v>1.0402218401450163</v>
      </c>
      <c r="H501">
        <f>2*SIN(A501*PI()*Dashboard!$C$3)*(COS(A501*PI()*Dashboard!$C$13)-COS(A501*PI()*Dashboard!$C$14))/(A501*PI())</f>
        <v>0</v>
      </c>
      <c r="I501">
        <f>SUM($H$2:H501)</f>
        <v>-1.9540431803336436E-2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ADARSHA GYAWALI</cp:lastModifiedBy>
  <cp:revision/>
  <dcterms:created xsi:type="dcterms:W3CDTF">2026-04-30T19:03:21Z</dcterms:created>
  <dcterms:modified xsi:type="dcterms:W3CDTF">2026-05-02T17:08:33Z</dcterms:modified>
  <cp:category/>
  <cp:contentStatus/>
</cp:coreProperties>
</file>